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Favorites\Downloads\"/>
    </mc:Choice>
  </mc:AlternateContent>
  <xr:revisionPtr revIDLastSave="0" documentId="8_{CFFD2737-97A0-4E74-BD55-575DB6227BC3}" xr6:coauthVersionLast="47" xr6:coauthVersionMax="47" xr10:uidLastSave="{00000000-0000-0000-0000-000000000000}"/>
  <bookViews>
    <workbookView xWindow="-108" yWindow="-108" windowWidth="23256" windowHeight="12456" activeTab="4" xr2:uid="{6D9138C0-51D1-42B4-AB0B-A738AD278711}"/>
  </bookViews>
  <sheets>
    <sheet name="Sheet2" sheetId="2" r:id="rId1"/>
    <sheet name="Sheet3" sheetId="3" r:id="rId2"/>
    <sheet name="Sheet4" sheetId="4" r:id="rId3"/>
    <sheet name="Sheet5" sheetId="5" r:id="rId4"/>
    <sheet name="Sheet1" sheetId="1" r:id="rId5"/>
  </sheets>
  <definedNames>
    <definedName name="_xlnm._FilterDatabase" localSheetId="4" hidden="1">Sheet1!$A$47:$F$67</definedName>
    <definedName name="Slicer_Product">#N/A</definedName>
    <definedName name="Slicer_Sales">#N/A</definedName>
    <definedName name="Slicer_Total_Sales">#N/A</definedName>
  </definedNames>
  <calcPr calcId="191029"/>
  <pivotCaches>
    <pivotCache cacheId="2" r:id="rId6"/>
    <pivotCache cacheId="9"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1" i="1" l="1"/>
  <c r="F22" i="1"/>
  <c r="F23" i="1"/>
  <c r="F24" i="1"/>
  <c r="F25" i="1"/>
  <c r="F26" i="1"/>
  <c r="F27" i="1"/>
  <c r="F28" i="1"/>
  <c r="F29" i="1"/>
  <c r="F30" i="1"/>
  <c r="F31" i="1"/>
  <c r="F32" i="1"/>
  <c r="F33" i="1"/>
  <c r="F34" i="1"/>
  <c r="F35" i="1"/>
  <c r="F36" i="1"/>
  <c r="F37" i="1"/>
  <c r="F38" i="1"/>
  <c r="F39" i="1"/>
  <c r="F20" i="1"/>
  <c r="F54" i="1"/>
  <c r="F64" i="1"/>
  <c r="F58" i="1"/>
  <c r="F52" i="1"/>
  <c r="F57" i="1"/>
  <c r="F66" i="1"/>
  <c r="F49" i="1"/>
  <c r="F48" i="1"/>
  <c r="F60" i="1"/>
  <c r="F63" i="1"/>
  <c r="F59" i="1"/>
  <c r="F62" i="1"/>
  <c r="F53" i="1"/>
  <c r="F56" i="1"/>
  <c r="F61" i="1"/>
  <c r="F55" i="1"/>
  <c r="F67" i="1"/>
  <c r="F50" i="1"/>
  <c r="F65" i="1"/>
  <c r="F51" i="1"/>
</calcChain>
</file>

<file path=xl/sharedStrings.xml><?xml version="1.0" encoding="utf-8"?>
<sst xmlns="http://schemas.openxmlformats.org/spreadsheetml/2006/main" count="173" uniqueCount="43">
  <si>
    <t>Date</t>
  </si>
  <si>
    <t>Region</t>
  </si>
  <si>
    <t>Product</t>
  </si>
  <si>
    <t>Sales</t>
  </si>
  <si>
    <t>Quantity</t>
  </si>
  <si>
    <t>West</t>
  </si>
  <si>
    <t>Mangoes</t>
  </si>
  <si>
    <t>South</t>
  </si>
  <si>
    <t>Oranges</t>
  </si>
  <si>
    <t>Apples</t>
  </si>
  <si>
    <t>East</t>
  </si>
  <si>
    <t>North</t>
  </si>
  <si>
    <t>Total Sales</t>
  </si>
  <si>
    <t>Row Labels</t>
  </si>
  <si>
    <t>Grand Total</t>
  </si>
  <si>
    <t>Sum of Total Sales</t>
  </si>
  <si>
    <t>Sum of Sales</t>
  </si>
  <si>
    <t>Jan</t>
  </si>
  <si>
    <t>Feb</t>
  </si>
  <si>
    <t>Mar</t>
  </si>
  <si>
    <t>Apr</t>
  </si>
  <si>
    <t>May</t>
  </si>
  <si>
    <t>Jun</t>
  </si>
  <si>
    <t>Q1. What is the purpose of a PivotTable in Excel?</t>
  </si>
  <si>
    <t>Q2. Create a PivotTable to show Total Sales by Region</t>
  </si>
  <si>
    <t>Q4. Explain the difference between Sorting and Filtering with an example from this dataset.</t>
  </si>
  <si>
    <t>In the above Dataset sorting  and filtering are used .</t>
  </si>
  <si>
    <r>
      <t>Filtering:</t>
    </r>
    <r>
      <rPr>
        <sz val="11"/>
        <color theme="1"/>
        <rFont val="Calibri"/>
        <family val="2"/>
        <scheme val="minor"/>
      </rPr>
      <t xml:space="preserve"> Choosing only the things you want and leaving out the rest.In above filtering is used in Date to show january,februray data.</t>
    </r>
  </si>
  <si>
    <t>Q5. Create a PivotChart showing Monthly Sales Trend.</t>
  </si>
  <si>
    <r>
      <t>Sorting:</t>
    </r>
    <r>
      <rPr>
        <sz val="11"/>
        <color theme="1"/>
        <rFont val="Calibri"/>
        <family val="2"/>
        <scheme val="minor"/>
      </rPr>
      <t xml:space="preserve"> Putting things in a certain order (like first to last, small to big, A to Z).</t>
    </r>
    <r>
      <rPr>
        <b/>
        <sz val="11"/>
        <color theme="1"/>
        <rFont val="Calibri"/>
        <family val="2"/>
        <scheme val="minor"/>
      </rPr>
      <t xml:space="preserve"> </t>
    </r>
    <r>
      <rPr>
        <sz val="11"/>
        <color theme="1"/>
        <rFont val="Calibri"/>
        <family val="2"/>
        <scheme val="minor"/>
      </rPr>
      <t>Above Product sort in ascending to descending order and Total Sales sort  in higher to smaller by product.</t>
    </r>
  </si>
  <si>
    <t>Q6. Use a Slicer to filter data by Product and observe changes in sales</t>
  </si>
  <si>
    <t>It helps you organize information, calculate totals or counts, and spot patterns without doing complex work.</t>
  </si>
  <si>
    <t>A PivotTable in Excel is used to quickly summarize and understand large amounts of data.</t>
  </si>
  <si>
    <t>Q7. Why are Dashboards important for decision-making in business analysis?</t>
  </si>
  <si>
    <t>Dashboards are important for decision-making in business analysis because they show important data in one clear place using charts and numbers.</t>
  </si>
  <si>
    <t>They help managers quickly understand performance, spot problems, track progress, and make faster and better decisions without reading long reports.</t>
  </si>
  <si>
    <t>Q8. Create a Dashboard that includes:</t>
  </si>
  <si>
    <t>Sales by Region (PivotTable + Chart),  Product Filter (Slicer) , Monthly Trend (Line Chart) .</t>
  </si>
  <si>
    <t>Q3. Apply Conditional Formatting to highlight sales greater than 400.</t>
  </si>
  <si>
    <t>Q9. Group dates in the PivotTable into Months and calculate the average sales per month.</t>
  </si>
  <si>
    <t>Average of Total Sales</t>
  </si>
  <si>
    <t>Q10. Combine Apples and Oranges into one group called Fruits and compare its sales with other products</t>
  </si>
  <si>
    <t>FRUITS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</si>
</sst>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0"/>
        <bgColor indexed="64"/>
      </patternFill>
    </fill>
  </fills>
  <borders count="8">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rgb="FFCCCCCC"/>
      </left>
      <right/>
      <top style="medium">
        <color rgb="FF000000"/>
      </top>
      <bottom style="medium">
        <color rgb="FF000000"/>
      </bottom>
      <diagonal/>
    </border>
    <border>
      <left style="medium">
        <color rgb="FFCCCCCC"/>
      </left>
      <right/>
      <top style="medium">
        <color rgb="FFCCCCCC"/>
      </top>
      <bottom style="medium">
        <color rgb="FFCCCCCC"/>
      </bottom>
      <diagonal/>
    </border>
    <border>
      <left style="thin">
        <color indexed="64"/>
      </left>
      <right style="thin">
        <color indexed="64"/>
      </right>
      <top/>
      <bottom/>
      <diagonal/>
    </border>
  </borders>
  <cellStyleXfs count="1">
    <xf numFmtId="0" fontId="0" fillId="0" borderId="0"/>
  </cellStyleXfs>
  <cellXfs count="31">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22" fontId="0" fillId="0" borderId="3" xfId="0" applyNumberFormat="1" applyBorder="1" applyAlignment="1">
      <alignment horizontal="right" wrapText="1"/>
    </xf>
    <xf numFmtId="0" fontId="0" fillId="0" borderId="3" xfId="0" applyBorder="1" applyAlignment="1">
      <alignment wrapText="1"/>
    </xf>
    <xf numFmtId="0" fontId="0" fillId="0" borderId="3" xfId="0" applyBorder="1" applyAlignment="1">
      <alignment horizontal="right" wrapText="1"/>
    </xf>
    <xf numFmtId="0" fontId="0" fillId="0" borderId="0" xfId="0" pivotButton="1"/>
    <xf numFmtId="0" fontId="0" fillId="0" borderId="0" xfId="0" applyAlignment="1">
      <alignment horizontal="left"/>
    </xf>
    <xf numFmtId="0" fontId="1" fillId="0" borderId="0" xfId="0" applyFont="1" applyAlignment="1">
      <alignment horizontal="left"/>
    </xf>
    <xf numFmtId="0" fontId="1" fillId="0" borderId="5" xfId="0" applyFont="1" applyBorder="1" applyAlignment="1">
      <alignment horizontal="center" vertical="top" wrapText="1"/>
    </xf>
    <xf numFmtId="0" fontId="0" fillId="0" borderId="6" xfId="0" applyBorder="1" applyAlignment="1">
      <alignment horizontal="right" wrapText="1"/>
    </xf>
    <xf numFmtId="0" fontId="1" fillId="0" borderId="4" xfId="0" applyFont="1" applyBorder="1" applyAlignment="1">
      <alignment horizontal="center" vertical="top" wrapText="1"/>
    </xf>
    <xf numFmtId="0" fontId="0" fillId="0" borderId="4" xfId="0" applyBorder="1"/>
    <xf numFmtId="0" fontId="1" fillId="0" borderId="0" xfId="0" applyFont="1"/>
    <xf numFmtId="0" fontId="0" fillId="0" borderId="0" xfId="0" applyAlignment="1">
      <alignment horizontal="left" indent="1"/>
    </xf>
    <xf numFmtId="0" fontId="1" fillId="0" borderId="0" xfId="0" applyFont="1" applyAlignment="1">
      <alignment horizontal="left"/>
    </xf>
    <xf numFmtId="0" fontId="0" fillId="0" borderId="0" xfId="0" applyAlignment="1">
      <alignment horizontal="left"/>
    </xf>
    <xf numFmtId="0" fontId="0" fillId="0" borderId="0" xfId="0" applyNumberFormat="1"/>
    <xf numFmtId="0" fontId="0" fillId="2" borderId="0" xfId="0" applyFill="1"/>
    <xf numFmtId="0" fontId="0" fillId="2" borderId="4" xfId="0" applyFill="1" applyBorder="1"/>
    <xf numFmtId="0" fontId="0" fillId="2" borderId="4" xfId="0" applyFill="1" applyBorder="1" applyAlignment="1">
      <alignment horizontal="left"/>
    </xf>
    <xf numFmtId="0" fontId="0" fillId="2" borderId="4" xfId="0" applyNumberFormat="1" applyFill="1" applyBorder="1"/>
    <xf numFmtId="0" fontId="0" fillId="3" borderId="0" xfId="0" applyFill="1"/>
    <xf numFmtId="22" fontId="0" fillId="0" borderId="0" xfId="0" applyNumberFormat="1" applyBorder="1" applyAlignment="1">
      <alignment horizontal="right" wrapText="1"/>
    </xf>
    <xf numFmtId="0" fontId="0" fillId="0" borderId="0" xfId="0" applyBorder="1" applyAlignment="1">
      <alignment wrapText="1"/>
    </xf>
    <xf numFmtId="0" fontId="0" fillId="0" borderId="0" xfId="0" applyBorder="1" applyAlignment="1">
      <alignment horizontal="right" wrapText="1"/>
    </xf>
    <xf numFmtId="0" fontId="0" fillId="0" borderId="0" xfId="0" applyBorder="1"/>
    <xf numFmtId="22" fontId="0" fillId="0" borderId="4" xfId="0" applyNumberFormat="1" applyBorder="1" applyAlignment="1">
      <alignment horizontal="right" wrapText="1"/>
    </xf>
    <xf numFmtId="0" fontId="0" fillId="0" borderId="4" xfId="0" applyBorder="1" applyAlignment="1">
      <alignment wrapText="1"/>
    </xf>
    <xf numFmtId="0" fontId="0" fillId="0" borderId="4" xfId="0" applyBorder="1" applyAlignment="1">
      <alignment horizontal="right" wrapText="1"/>
    </xf>
    <xf numFmtId="0" fontId="1" fillId="0" borderId="7" xfId="0" applyFont="1" applyFill="1" applyBorder="1" applyAlignment="1">
      <alignment horizontal="center" vertical="top" wrapText="1"/>
    </xf>
  </cellXfs>
  <cellStyles count="1">
    <cellStyle name="Normal" xfId="0" builtinId="0"/>
  </cellStyles>
  <dxfs count="341">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font>
        <color rgb="FF9C0006"/>
      </font>
      <fill>
        <patternFill>
          <bgColor rgb="FFFFC7CE"/>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[Assignment4.xlsx]Sheet4!PivotTable4</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10124781277340332"/>
          <c:w val="0.77314085739282601"/>
          <c:h val="0.70117782152230967"/>
        </c:manualLayout>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multiLvlStrRef>
              <c:f>Sheet4!$A$4:$A$11</c:f>
              <c:multiLvlStrCache>
                <c:ptCount val="6"/>
                <c:lvl>
                  <c:pt idx="0">
                    <c:v>Jan</c:v>
                  </c:pt>
                  <c:pt idx="1">
                    <c:v>Feb</c:v>
                  </c:pt>
                  <c:pt idx="2">
                    <c:v>Mar</c:v>
                  </c:pt>
                  <c:pt idx="3">
                    <c:v>Apr</c:v>
                  </c:pt>
                  <c:pt idx="4">
                    <c:v>May</c:v>
                  </c:pt>
                  <c:pt idx="5">
                    <c:v>Jun</c:v>
                  </c:pt>
                </c:lvl>
                <c:lvl>
                  <c:pt idx="0">
                    <c:v>Oranges</c:v>
                  </c:pt>
                </c:lvl>
              </c:multiLvlStrCache>
            </c:multiLvlStrRef>
          </c:cat>
          <c:val>
            <c:numRef>
              <c:f>Sheet4!$B$4:$B$11</c:f>
              <c:numCache>
                <c:formatCode>General</c:formatCode>
                <c:ptCount val="6"/>
                <c:pt idx="0">
                  <c:v>19488</c:v>
                </c:pt>
                <c:pt idx="1">
                  <c:v>17368</c:v>
                </c:pt>
                <c:pt idx="2">
                  <c:v>34839</c:v>
                </c:pt>
                <c:pt idx="3">
                  <c:v>46851</c:v>
                </c:pt>
                <c:pt idx="4">
                  <c:v>35287</c:v>
                </c:pt>
                <c:pt idx="5">
                  <c:v>14530</c:v>
                </c:pt>
              </c:numCache>
            </c:numRef>
          </c:val>
          <c:smooth val="0"/>
          <c:extLst>
            <c:ext xmlns:c16="http://schemas.microsoft.com/office/drawing/2014/chart" uri="{C3380CC4-5D6E-409C-BE32-E72D297353CC}">
              <c16:uniqueId val="{00000000-2ECD-4F3B-896A-65EE06B04315}"/>
            </c:ext>
          </c:extLst>
        </c:ser>
        <c:dLbls>
          <c:showLegendKey val="0"/>
          <c:showVal val="0"/>
          <c:showCatName val="0"/>
          <c:showSerName val="0"/>
          <c:showPercent val="0"/>
          <c:showBubbleSize val="0"/>
        </c:dLbls>
        <c:smooth val="0"/>
        <c:axId val="692799343"/>
        <c:axId val="692801263"/>
      </c:lineChart>
      <c:catAx>
        <c:axId val="69279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801263"/>
        <c:crosses val="autoZero"/>
        <c:auto val="1"/>
        <c:lblAlgn val="ctr"/>
        <c:lblOffset val="100"/>
        <c:noMultiLvlLbl val="0"/>
      </c:catAx>
      <c:valAx>
        <c:axId val="692801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799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[Assignment4.xlsx]Sheet1!PivotTable5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50548003290561"/>
          <c:y val="5.9730581208298612E-2"/>
          <c:w val="0.83572269702647961"/>
          <c:h val="0.83181646565894973"/>
        </c:manualLayout>
      </c:layout>
      <c:barChart>
        <c:barDir val="col"/>
        <c:grouping val="clustered"/>
        <c:varyColors val="0"/>
        <c:ser>
          <c:idx val="0"/>
          <c:order val="0"/>
          <c:tx>
            <c:strRef>
              <c:f>Sheet1!$B$117</c:f>
              <c:strCache>
                <c:ptCount val="1"/>
                <c:pt idx="0">
                  <c:v>Total</c:v>
                </c:pt>
              </c:strCache>
            </c:strRef>
          </c:tx>
          <c:spPr>
            <a:solidFill>
              <a:schemeClr val="accent1"/>
            </a:solidFill>
            <a:ln>
              <a:noFill/>
            </a:ln>
            <a:effectLst/>
          </c:spPr>
          <c:invertIfNegative val="0"/>
          <c:cat>
            <c:strRef>
              <c:f>Sheet1!$A$118:$A$121</c:f>
              <c:strCache>
                <c:ptCount val="3"/>
                <c:pt idx="0">
                  <c:v>North</c:v>
                </c:pt>
                <c:pt idx="1">
                  <c:v>South</c:v>
                </c:pt>
                <c:pt idx="2">
                  <c:v>West</c:v>
                </c:pt>
              </c:strCache>
            </c:strRef>
          </c:cat>
          <c:val>
            <c:numRef>
              <c:f>Sheet1!$B$118:$B$121</c:f>
              <c:numCache>
                <c:formatCode>General</c:formatCode>
                <c:ptCount val="3"/>
                <c:pt idx="0">
                  <c:v>347</c:v>
                </c:pt>
                <c:pt idx="1">
                  <c:v>845</c:v>
                </c:pt>
                <c:pt idx="2">
                  <c:v>1311</c:v>
                </c:pt>
              </c:numCache>
            </c:numRef>
          </c:val>
          <c:extLst>
            <c:ext xmlns:c16="http://schemas.microsoft.com/office/drawing/2014/chart" uri="{C3380CC4-5D6E-409C-BE32-E72D297353CC}">
              <c16:uniqueId val="{00000002-48E0-42A5-9356-AA2878A2CB86}"/>
            </c:ext>
          </c:extLst>
        </c:ser>
        <c:dLbls>
          <c:showLegendKey val="0"/>
          <c:showVal val="0"/>
          <c:showCatName val="0"/>
          <c:showSerName val="0"/>
          <c:showPercent val="0"/>
          <c:showBubbleSize val="0"/>
        </c:dLbls>
        <c:gapWidth val="219"/>
        <c:overlap val="-27"/>
        <c:axId val="102122479"/>
        <c:axId val="136724655"/>
      </c:barChart>
      <c:catAx>
        <c:axId val="10212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24655"/>
        <c:crosses val="autoZero"/>
        <c:auto val="1"/>
        <c:lblAlgn val="ctr"/>
        <c:lblOffset val="100"/>
        <c:noMultiLvlLbl val="0"/>
      </c:catAx>
      <c:valAx>
        <c:axId val="136724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2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[Assignment4.xlsx]Sheet4!PivotTable4</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24472831361521"/>
          <c:y val="0.10124786427984862"/>
          <c:w val="0.77314085739282601"/>
          <c:h val="0.70117782152230967"/>
        </c:manualLayout>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multiLvlStrRef>
              <c:f>Sheet4!$A$4:$A$11</c:f>
              <c:multiLvlStrCache>
                <c:ptCount val="6"/>
                <c:lvl>
                  <c:pt idx="0">
                    <c:v>Jan</c:v>
                  </c:pt>
                  <c:pt idx="1">
                    <c:v>Feb</c:v>
                  </c:pt>
                  <c:pt idx="2">
                    <c:v>Mar</c:v>
                  </c:pt>
                  <c:pt idx="3">
                    <c:v>Apr</c:v>
                  </c:pt>
                  <c:pt idx="4">
                    <c:v>May</c:v>
                  </c:pt>
                  <c:pt idx="5">
                    <c:v>Jun</c:v>
                  </c:pt>
                </c:lvl>
                <c:lvl>
                  <c:pt idx="0">
                    <c:v>Oranges</c:v>
                  </c:pt>
                </c:lvl>
              </c:multiLvlStrCache>
            </c:multiLvlStrRef>
          </c:cat>
          <c:val>
            <c:numRef>
              <c:f>Sheet4!$B$4:$B$11</c:f>
              <c:numCache>
                <c:formatCode>General</c:formatCode>
                <c:ptCount val="6"/>
                <c:pt idx="0">
                  <c:v>19488</c:v>
                </c:pt>
                <c:pt idx="1">
                  <c:v>17368</c:v>
                </c:pt>
                <c:pt idx="2">
                  <c:v>34839</c:v>
                </c:pt>
                <c:pt idx="3">
                  <c:v>46851</c:v>
                </c:pt>
                <c:pt idx="4">
                  <c:v>35287</c:v>
                </c:pt>
                <c:pt idx="5">
                  <c:v>14530</c:v>
                </c:pt>
              </c:numCache>
            </c:numRef>
          </c:val>
          <c:smooth val="0"/>
          <c:extLst>
            <c:ext xmlns:c16="http://schemas.microsoft.com/office/drawing/2014/chart" uri="{C3380CC4-5D6E-409C-BE32-E72D297353CC}">
              <c16:uniqueId val="{00000000-4CD4-4CEA-94E8-EA6434170272}"/>
            </c:ext>
          </c:extLst>
        </c:ser>
        <c:dLbls>
          <c:showLegendKey val="0"/>
          <c:showVal val="0"/>
          <c:showCatName val="0"/>
          <c:showSerName val="0"/>
          <c:showPercent val="0"/>
          <c:showBubbleSize val="0"/>
        </c:dLbls>
        <c:smooth val="0"/>
        <c:axId val="692799343"/>
        <c:axId val="692801263"/>
      </c:lineChart>
      <c:catAx>
        <c:axId val="69279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801263"/>
        <c:crosses val="autoZero"/>
        <c:auto val="1"/>
        <c:lblAlgn val="ctr"/>
        <c:lblOffset val="100"/>
        <c:noMultiLvlLbl val="0"/>
      </c:catAx>
      <c:valAx>
        <c:axId val="692801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799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349806</xdr:colOff>
      <xdr:row>2</xdr:row>
      <xdr:rowOff>103346</xdr:rowOff>
    </xdr:from>
    <xdr:to>
      <xdr:col>8</xdr:col>
      <xdr:colOff>112872</xdr:colOff>
      <xdr:row>15</xdr:row>
      <xdr:rowOff>171212</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0DC81B99-C0DF-1964-6BE0-BB52A52EC1C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157536" y="474049"/>
              <a:ext cx="1829390" cy="24774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133350</xdr:colOff>
      <xdr:row>2</xdr:row>
      <xdr:rowOff>101203</xdr:rowOff>
    </xdr:from>
    <xdr:to>
      <xdr:col>11</xdr:col>
      <xdr:colOff>211931</xdr:colOff>
      <xdr:row>15</xdr:row>
      <xdr:rowOff>169069</xdr:rowOff>
    </xdr:to>
    <mc:AlternateContent xmlns:mc="http://schemas.openxmlformats.org/markup-compatibility/2006" xmlns:a14="http://schemas.microsoft.com/office/drawing/2010/main">
      <mc:Choice Requires="a14">
        <xdr:graphicFrame macro="">
          <xdr:nvGraphicFramePr>
            <xdr:cNvPr id="4" name="Total Sales">
              <a:extLst>
                <a:ext uri="{FF2B5EF4-FFF2-40B4-BE49-F238E27FC236}">
                  <a16:creationId xmlns:a16="http://schemas.microsoft.com/office/drawing/2014/main" id="{C8FCEB99-38C3-6F77-46D4-968CA9EF409D}"/>
                </a:ext>
              </a:extLst>
            </xdr:cNvPr>
            <xdr:cNvGraphicFramePr/>
          </xdr:nvGraphicFramePr>
          <xdr:xfrm>
            <a:off x="0" y="0"/>
            <a:ext cx="0" cy="0"/>
          </xdr:xfrm>
          <a:graphic>
            <a:graphicData uri="http://schemas.microsoft.com/office/drawing/2010/slicer">
              <sle:slicer xmlns:sle="http://schemas.microsoft.com/office/drawing/2010/slicer" name="Total Sales"/>
            </a:graphicData>
          </a:graphic>
        </xdr:graphicFrame>
      </mc:Choice>
      <mc:Fallback xmlns="">
        <xdr:sp macro="" textlink="">
          <xdr:nvSpPr>
            <xdr:cNvPr id="0" name=""/>
            <xdr:cNvSpPr>
              <a:spLocks noTextEdit="1"/>
            </xdr:cNvSpPr>
          </xdr:nvSpPr>
          <xdr:spPr>
            <a:xfrm>
              <a:off x="5007404" y="471906"/>
              <a:ext cx="1835986" cy="24774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69771</xdr:colOff>
      <xdr:row>3</xdr:row>
      <xdr:rowOff>138827</xdr:rowOff>
    </xdr:from>
    <xdr:to>
      <xdr:col>15</xdr:col>
      <xdr:colOff>285274</xdr:colOff>
      <xdr:row>17</xdr:row>
      <xdr:rowOff>22146</xdr:rowOff>
    </xdr:to>
    <mc:AlternateContent xmlns:mc="http://schemas.openxmlformats.org/markup-compatibility/2006" xmlns:a14="http://schemas.microsoft.com/office/drawing/2010/main">
      <mc:Choice Requires="a14">
        <xdr:graphicFrame macro="">
          <xdr:nvGraphicFramePr>
            <xdr:cNvPr id="5" name="Sales">
              <a:extLst>
                <a:ext uri="{FF2B5EF4-FFF2-40B4-BE49-F238E27FC236}">
                  <a16:creationId xmlns:a16="http://schemas.microsoft.com/office/drawing/2014/main" id="{F599A4BF-16FD-26B0-CB86-54B58E4FB9DC}"/>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7250420" y="694881"/>
              <a:ext cx="1835611" cy="24782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51485</xdr:colOff>
      <xdr:row>5</xdr:row>
      <xdr:rowOff>152400</xdr:rowOff>
    </xdr:from>
    <xdr:to>
      <xdr:col>10</xdr:col>
      <xdr:colOff>580080</xdr:colOff>
      <xdr:row>20</xdr:row>
      <xdr:rowOff>115330</xdr:rowOff>
    </xdr:to>
    <xdr:graphicFrame macro="">
      <xdr:nvGraphicFramePr>
        <xdr:cNvPr id="6" name="Chart 5">
          <a:extLst>
            <a:ext uri="{FF2B5EF4-FFF2-40B4-BE49-F238E27FC236}">
              <a16:creationId xmlns:a16="http://schemas.microsoft.com/office/drawing/2014/main" id="{330B0D5B-347D-52B3-DE43-D0CA468592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645762</xdr:colOff>
      <xdr:row>74</xdr:row>
      <xdr:rowOff>71034</xdr:rowOff>
    </xdr:from>
    <xdr:to>
      <xdr:col>4</xdr:col>
      <xdr:colOff>264648</xdr:colOff>
      <xdr:row>87</xdr:row>
      <xdr:rowOff>114728</xdr:rowOff>
    </xdr:to>
    <xdr:pic>
      <xdr:nvPicPr>
        <xdr:cNvPr id="3" name="Picture 2">
          <a:extLst>
            <a:ext uri="{FF2B5EF4-FFF2-40B4-BE49-F238E27FC236}">
              <a16:creationId xmlns:a16="http://schemas.microsoft.com/office/drawing/2014/main" id="{7B83F0A8-A80F-251A-DA4C-2AC76974893E}"/>
            </a:ext>
          </a:extLst>
        </xdr:cNvPr>
        <xdr:cNvPicPr>
          <a:picLocks noChangeAspect="1"/>
        </xdr:cNvPicPr>
      </xdr:nvPicPr>
      <xdr:blipFill>
        <a:blip xmlns:r="http://schemas.openxmlformats.org/officeDocument/2006/relationships" r:embed="rId1"/>
        <a:stretch>
          <a:fillRect/>
        </a:stretch>
      </xdr:blipFill>
      <xdr:spPr>
        <a:xfrm>
          <a:off x="645762" y="9873712"/>
          <a:ext cx="3932696" cy="2394271"/>
        </a:xfrm>
        <a:prstGeom prst="rect">
          <a:avLst/>
        </a:prstGeom>
      </xdr:spPr>
    </xdr:pic>
    <xdr:clientData/>
  </xdr:twoCellAnchor>
  <xdr:twoCellAnchor editAs="oneCell">
    <xdr:from>
      <xdr:col>0</xdr:col>
      <xdr:colOff>0</xdr:colOff>
      <xdr:row>91</xdr:row>
      <xdr:rowOff>0</xdr:rowOff>
    </xdr:from>
    <xdr:to>
      <xdr:col>1</xdr:col>
      <xdr:colOff>588936</xdr:colOff>
      <xdr:row>104</xdr:row>
      <xdr:rowOff>116400</xdr:rowOff>
    </xdr:to>
    <mc:AlternateContent xmlns:mc="http://schemas.openxmlformats.org/markup-compatibility/2006" xmlns:a14="http://schemas.microsoft.com/office/drawing/2010/main">
      <mc:Choice Requires="a14">
        <xdr:graphicFrame macro="">
          <xdr:nvGraphicFramePr>
            <xdr:cNvPr id="4" name="Product 1">
              <a:extLst>
                <a:ext uri="{FF2B5EF4-FFF2-40B4-BE49-F238E27FC236}">
                  <a16:creationId xmlns:a16="http://schemas.microsoft.com/office/drawing/2014/main" id="{04586919-B2E6-42D3-A85A-95ABFF9C7A6D}"/>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0" y="1359976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530679</xdr:colOff>
      <xdr:row>91</xdr:row>
      <xdr:rowOff>6804</xdr:rowOff>
    </xdr:from>
    <xdr:to>
      <xdr:col>4</xdr:col>
      <xdr:colOff>387711</xdr:colOff>
      <xdr:row>104</xdr:row>
      <xdr:rowOff>123204</xdr:rowOff>
    </xdr:to>
    <mc:AlternateContent xmlns:mc="http://schemas.openxmlformats.org/markup-compatibility/2006">
      <mc:Choice xmlns:a14="http://schemas.microsoft.com/office/drawing/2010/main" Requires="a14">
        <xdr:graphicFrame macro="">
          <xdr:nvGraphicFramePr>
            <xdr:cNvPr id="5" name="Sales 1">
              <a:extLst>
                <a:ext uri="{FF2B5EF4-FFF2-40B4-BE49-F238E27FC236}">
                  <a16:creationId xmlns:a16="http://schemas.microsoft.com/office/drawing/2014/main" id="{FD3EB3D4-5239-4022-A9F1-04379FCEDEA8}"/>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dr:sp macro="" textlink="">
          <xdr:nvSpPr>
            <xdr:cNvPr id="0" name=""/>
            <xdr:cNvSpPr>
              <a:spLocks noTextEdit="1"/>
            </xdr:cNvSpPr>
          </xdr:nvSpPr>
          <xdr:spPr>
            <a:xfrm>
              <a:off x="2877911" y="14396358"/>
              <a:ext cx="1830068" cy="25044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121</xdr:row>
      <xdr:rowOff>71038</xdr:rowOff>
    </xdr:from>
    <xdr:to>
      <xdr:col>1</xdr:col>
      <xdr:colOff>496660</xdr:colOff>
      <xdr:row>129</xdr:row>
      <xdr:rowOff>176894</xdr:rowOff>
    </xdr:to>
    <mc:AlternateContent xmlns:mc="http://schemas.openxmlformats.org/markup-compatibility/2006">
      <mc:Choice xmlns:a14="http://schemas.microsoft.com/office/drawing/2010/main" Requires="a14">
        <xdr:graphicFrame macro="">
          <xdr:nvGraphicFramePr>
            <xdr:cNvPr id="13" name="Product 2">
              <a:extLst>
                <a:ext uri="{FF2B5EF4-FFF2-40B4-BE49-F238E27FC236}">
                  <a16:creationId xmlns:a16="http://schemas.microsoft.com/office/drawing/2014/main" id="{C36100C9-D475-45F1-9FD8-0508430464F5}"/>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0" y="19971484"/>
              <a:ext cx="1741714" cy="1575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268223</xdr:colOff>
      <xdr:row>115</xdr:row>
      <xdr:rowOff>167897</xdr:rowOff>
    </xdr:from>
    <xdr:to>
      <xdr:col>7</xdr:col>
      <xdr:colOff>294053</xdr:colOff>
      <xdr:row>129</xdr:row>
      <xdr:rowOff>174356</xdr:rowOff>
    </xdr:to>
    <xdr:graphicFrame macro="">
      <xdr:nvGraphicFramePr>
        <xdr:cNvPr id="14" name="Chart 13">
          <a:extLst>
            <a:ext uri="{FF2B5EF4-FFF2-40B4-BE49-F238E27FC236}">
              <a16:creationId xmlns:a16="http://schemas.microsoft.com/office/drawing/2014/main" id="{AADFEFF0-DFED-26A9-4F0A-959D86744B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601943</xdr:colOff>
      <xdr:row>116</xdr:row>
      <xdr:rowOff>18218</xdr:rowOff>
    </xdr:from>
    <xdr:to>
      <xdr:col>13</xdr:col>
      <xdr:colOff>466333</xdr:colOff>
      <xdr:row>130</xdr:row>
      <xdr:rowOff>46932</xdr:rowOff>
    </xdr:to>
    <xdr:graphicFrame macro="">
      <xdr:nvGraphicFramePr>
        <xdr:cNvPr id="22" name="Chart 21">
          <a:extLst>
            <a:ext uri="{FF2B5EF4-FFF2-40B4-BE49-F238E27FC236}">
              <a16:creationId xmlns:a16="http://schemas.microsoft.com/office/drawing/2014/main" id="{FDBF4D39-3F23-4A0D-B7B8-612422C91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05.691694791669" createdVersion="8" refreshedVersion="8" minRefreshableVersion="3" recordCount="20" xr:uid="{0D0B8020-627A-4FA8-9814-95909AD0298D}">
  <cacheSource type="worksheet">
    <worksheetSource ref="A23:F43" sheet="Sheet1"/>
  </cacheSource>
  <cacheFields count="8">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7"/>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 name="Total Sales" numFmtId="0">
      <sharedItems containsSemiMixedTypes="0" containsString="0" containsNumber="1" containsInteger="1" minValue="2385" maxValue="46851" count="20">
        <n v="42408"/>
        <n v="19488"/>
        <n v="18772"/>
        <n v="8510"/>
        <n v="14050"/>
        <n v="17368"/>
        <n v="12093"/>
        <n v="19404"/>
        <n v="4788"/>
        <n v="34839"/>
        <n v="4715"/>
        <n v="46851"/>
        <n v="45299"/>
        <n v="34960"/>
        <n v="35287"/>
        <n v="33129"/>
        <n v="2385"/>
        <n v="13134"/>
        <n v="12145"/>
        <n v="14355"/>
      </sharedItems>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30342075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06.719193171295" createdVersion="8" refreshedVersion="8" minRefreshableVersion="3" recordCount="20" xr:uid="{F94D3F42-92B3-4C97-BDF4-CE9E6D862C99}">
  <cacheSource type="worksheet">
    <worksheetSource ref="A19:F39" sheet="Sheet1"/>
  </cacheSource>
  <cacheFields count="9">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7"/>
    </cacheField>
    <cacheField name="Region" numFmtId="0">
      <sharedItems/>
    </cacheField>
    <cacheField name="Product" numFmtId="0">
      <sharedItems count="3">
        <s v="Mangoes"/>
        <s v="Oranges"/>
        <s v="Apples"/>
      </sharedItems>
      <fieldGroup par="8"/>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Total Sales" numFmtId="0">
      <sharedItems containsSemiMixedTypes="0" containsString="0" containsNumber="1" containsInteger="1" minValue="2385" maxValue="46851"/>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93"/>
    <x v="0"/>
  </r>
  <r>
    <x v="1"/>
    <x v="1"/>
    <x v="1"/>
    <x v="1"/>
    <n v="56"/>
    <x v="1"/>
  </r>
  <r>
    <x v="2"/>
    <x v="1"/>
    <x v="0"/>
    <x v="2"/>
    <n v="76"/>
    <x v="2"/>
  </r>
  <r>
    <x v="3"/>
    <x v="0"/>
    <x v="2"/>
    <x v="3"/>
    <n v="37"/>
    <x v="3"/>
  </r>
  <r>
    <x v="4"/>
    <x v="0"/>
    <x v="0"/>
    <x v="4"/>
    <n v="50"/>
    <x v="4"/>
  </r>
  <r>
    <x v="5"/>
    <x v="0"/>
    <x v="1"/>
    <x v="5"/>
    <n v="52"/>
    <x v="5"/>
  </r>
  <r>
    <x v="6"/>
    <x v="1"/>
    <x v="2"/>
    <x v="6"/>
    <n v="29"/>
    <x v="6"/>
  </r>
  <r>
    <x v="7"/>
    <x v="0"/>
    <x v="2"/>
    <x v="7"/>
    <n v="44"/>
    <x v="7"/>
  </r>
  <r>
    <x v="8"/>
    <x v="1"/>
    <x v="0"/>
    <x v="8"/>
    <n v="63"/>
    <x v="8"/>
  </r>
  <r>
    <x v="9"/>
    <x v="0"/>
    <x v="1"/>
    <x v="7"/>
    <n v="79"/>
    <x v="9"/>
  </r>
  <r>
    <x v="10"/>
    <x v="1"/>
    <x v="0"/>
    <x v="9"/>
    <n v="23"/>
    <x v="10"/>
  </r>
  <r>
    <x v="11"/>
    <x v="0"/>
    <x v="1"/>
    <x v="10"/>
    <n v="97"/>
    <x v="11"/>
  </r>
  <r>
    <x v="12"/>
    <x v="2"/>
    <x v="0"/>
    <x v="11"/>
    <n v="97"/>
    <x v="12"/>
  </r>
  <r>
    <x v="13"/>
    <x v="0"/>
    <x v="0"/>
    <x v="12"/>
    <n v="92"/>
    <x v="13"/>
  </r>
  <r>
    <x v="14"/>
    <x v="1"/>
    <x v="1"/>
    <x v="13"/>
    <n v="71"/>
    <x v="14"/>
  </r>
  <r>
    <x v="15"/>
    <x v="1"/>
    <x v="0"/>
    <x v="14"/>
    <n v="81"/>
    <x v="15"/>
  </r>
  <r>
    <x v="16"/>
    <x v="0"/>
    <x v="1"/>
    <x v="15"/>
    <n v="45"/>
    <x v="16"/>
  </r>
  <r>
    <x v="17"/>
    <x v="0"/>
    <x v="2"/>
    <x v="16"/>
    <n v="33"/>
    <x v="17"/>
  </r>
  <r>
    <x v="18"/>
    <x v="3"/>
    <x v="1"/>
    <x v="17"/>
    <n v="35"/>
    <x v="18"/>
  </r>
  <r>
    <x v="19"/>
    <x v="1"/>
    <x v="2"/>
    <x v="18"/>
    <n v="45"/>
    <x v="1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x v="0"/>
    <n v="456"/>
    <n v="93"/>
    <n v="42408"/>
  </r>
  <r>
    <x v="1"/>
    <s v="South"/>
    <x v="1"/>
    <n v="348"/>
    <n v="56"/>
    <n v="19488"/>
  </r>
  <r>
    <x v="2"/>
    <s v="South"/>
    <x v="0"/>
    <n v="247"/>
    <n v="76"/>
    <n v="18772"/>
  </r>
  <r>
    <x v="3"/>
    <s v="West"/>
    <x v="2"/>
    <n v="230"/>
    <n v="37"/>
    <n v="8510"/>
  </r>
  <r>
    <x v="4"/>
    <s v="West"/>
    <x v="0"/>
    <n v="281"/>
    <n v="50"/>
    <n v="14050"/>
  </r>
  <r>
    <x v="5"/>
    <s v="West"/>
    <x v="1"/>
    <n v="334"/>
    <n v="52"/>
    <n v="17368"/>
  </r>
  <r>
    <x v="6"/>
    <s v="South"/>
    <x v="2"/>
    <n v="417"/>
    <n v="29"/>
    <n v="12093"/>
  </r>
  <r>
    <x v="7"/>
    <s v="West"/>
    <x v="2"/>
    <n v="441"/>
    <n v="44"/>
    <n v="19404"/>
  </r>
  <r>
    <x v="8"/>
    <s v="South"/>
    <x v="0"/>
    <n v="76"/>
    <n v="63"/>
    <n v="4788"/>
  </r>
  <r>
    <x v="9"/>
    <s v="West"/>
    <x v="1"/>
    <n v="441"/>
    <n v="79"/>
    <n v="34839"/>
  </r>
  <r>
    <x v="10"/>
    <s v="South"/>
    <x v="0"/>
    <n v="205"/>
    <n v="23"/>
    <n v="4715"/>
  </r>
  <r>
    <x v="11"/>
    <s v="West"/>
    <x v="1"/>
    <n v="483"/>
    <n v="97"/>
    <n v="46851"/>
  </r>
  <r>
    <x v="12"/>
    <s v="East"/>
    <x v="0"/>
    <n v="467"/>
    <n v="97"/>
    <n v="45299"/>
  </r>
  <r>
    <x v="13"/>
    <s v="West"/>
    <x v="0"/>
    <n v="380"/>
    <n v="92"/>
    <n v="34960"/>
  </r>
  <r>
    <x v="14"/>
    <s v="South"/>
    <x v="1"/>
    <n v="497"/>
    <n v="71"/>
    <n v="35287"/>
  </r>
  <r>
    <x v="15"/>
    <s v="South"/>
    <x v="0"/>
    <n v="409"/>
    <n v="81"/>
    <n v="33129"/>
  </r>
  <r>
    <x v="16"/>
    <s v="West"/>
    <x v="1"/>
    <n v="53"/>
    <n v="45"/>
    <n v="2385"/>
  </r>
  <r>
    <x v="17"/>
    <s v="West"/>
    <x v="2"/>
    <n v="398"/>
    <n v="33"/>
    <n v="13134"/>
  </r>
  <r>
    <x v="18"/>
    <s v="North"/>
    <x v="1"/>
    <n v="347"/>
    <n v="35"/>
    <n v="12145"/>
  </r>
  <r>
    <x v="19"/>
    <s v="South"/>
    <x v="2"/>
    <n v="319"/>
    <n v="45"/>
    <n v="143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34EEB9-5489-4EA8-8F7B-E019E0E94868}"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Total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C7AB21-5D56-42E8-B667-48461A66A82B}"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8">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7"/>
    <field x="6"/>
    <field x="0"/>
  </rowFields>
  <rowItems count="7">
    <i>
      <x v="1"/>
    </i>
    <i>
      <x v="2"/>
    </i>
    <i>
      <x v="3"/>
    </i>
    <i>
      <x v="4"/>
    </i>
    <i>
      <x v="5"/>
    </i>
    <i>
      <x v="6"/>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368F5D-F764-48EF-B3D1-BE85DDB8DC3B}"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1"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h="1" x="2"/>
        <item h="1" x="0"/>
        <item x="1"/>
        <item t="default"/>
      </items>
    </pivotField>
    <pivotField showAll="0">
      <items count="20">
        <item x="15"/>
        <item x="8"/>
        <item x="9"/>
        <item x="3"/>
        <item x="2"/>
        <item x="4"/>
        <item x="18"/>
        <item x="5"/>
        <item x="17"/>
        <item x="1"/>
        <item x="12"/>
        <item x="16"/>
        <item x="14"/>
        <item x="6"/>
        <item x="7"/>
        <item x="0"/>
        <item x="11"/>
        <item x="10"/>
        <item x="13"/>
        <item t="default"/>
      </items>
    </pivotField>
    <pivotField showAll="0"/>
    <pivotField dataField="1" showAll="0">
      <items count="21">
        <item x="16"/>
        <item x="10"/>
        <item x="8"/>
        <item x="3"/>
        <item x="6"/>
        <item x="18"/>
        <item x="17"/>
        <item x="4"/>
        <item x="19"/>
        <item x="5"/>
        <item x="2"/>
        <item x="7"/>
        <item x="1"/>
        <item x="15"/>
        <item x="9"/>
        <item x="13"/>
        <item x="14"/>
        <item x="0"/>
        <item x="12"/>
        <item x="11"/>
        <item t="default"/>
      </items>
    </pivotField>
    <pivotField showAll="0" defaultSubtotal="0"/>
    <pivotField axis="axisRow" showAll="0" defaultSubtotal="0">
      <items count="14">
        <item x="0"/>
        <item x="1"/>
        <item x="2"/>
        <item x="3"/>
        <item x="4"/>
        <item x="5"/>
        <item x="6"/>
        <item x="7"/>
        <item x="8"/>
        <item x="9"/>
        <item x="10"/>
        <item x="11"/>
        <item x="12"/>
        <item x="13"/>
      </items>
    </pivotField>
  </pivotFields>
  <rowFields count="2">
    <field x="2"/>
    <field x="7"/>
  </rowFields>
  <rowItems count="8">
    <i>
      <x v="2"/>
    </i>
    <i r="1">
      <x v="1"/>
    </i>
    <i r="1">
      <x v="2"/>
    </i>
    <i r="1">
      <x v="3"/>
    </i>
    <i r="1">
      <x v="4"/>
    </i>
    <i r="1">
      <x v="5"/>
    </i>
    <i r="1">
      <x v="6"/>
    </i>
    <i t="grand">
      <x/>
    </i>
  </rowItems>
  <colItems count="1">
    <i/>
  </colItems>
  <dataFields count="1">
    <dataField name="Sum of Total Sales" fld="5" baseField="0" baseItem="0"/>
  </dataFields>
  <chartFormats count="4">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AA45BC-8FDD-4E57-944E-825122AACB9A}"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Items count="1">
    <i/>
  </colItems>
  <dataFields count="1">
    <dataField name="Sum of Sales" fld="3"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886FF6-C8F2-41D9-90CA-829D943DB15C}"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0:B156" firstHeaderRow="1" firstDataRow="1" firstDataCol="1"/>
  <pivotFields count="9">
    <pivotField numFmtId="22"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items count="3">
        <item n="FRUITS" x="1"/>
        <item x="0"/>
        <item t="default"/>
      </items>
    </pivotField>
  </pivotFields>
  <rowFields count="2">
    <field x="8"/>
    <field x="2"/>
  </rowFields>
  <rowItems count="6">
    <i>
      <x/>
    </i>
    <i r="1">
      <x/>
    </i>
    <i r="1">
      <x v="2"/>
    </i>
    <i>
      <x v="1"/>
    </i>
    <i r="1">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278E23-6B04-4756-A357-6D314168A682}"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9:B146" firstHeaderRow="1" firstDataRow="1" firstDataCol="1"/>
  <pivotFields count="9">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
        <item x="1"/>
        <item x="0"/>
        <item t="default"/>
      </items>
    </pivotField>
  </pivotFields>
  <rowFields count="3">
    <field x="7"/>
    <field x="6"/>
    <field x="0"/>
  </rowFields>
  <rowItems count="7">
    <i>
      <x v="1"/>
    </i>
    <i>
      <x v="2"/>
    </i>
    <i>
      <x v="3"/>
    </i>
    <i>
      <x v="4"/>
    </i>
    <i>
      <x v="5"/>
    </i>
    <i>
      <x v="6"/>
    </i>
    <i t="grand">
      <x/>
    </i>
  </rowItems>
  <colItems count="1">
    <i/>
  </colItems>
  <dataFields count="1">
    <dataField name="Average of Total Sales" fld="5" subtotal="average" baseField="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A7EE95-9FBD-4729-9DA4-3BE6898941E8}"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14"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Items count="1">
    <i/>
  </colItems>
  <dataFields count="1">
    <dataField name="Sum of Total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195977-79DE-480A-98AB-3C6B6C60FCDE}"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17:B121"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h="1" x="2"/>
        <item h="1" x="0"/>
        <item x="1"/>
        <item t="default"/>
      </items>
    </pivotField>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v="1"/>
    </i>
    <i>
      <x v="2"/>
    </i>
    <i>
      <x v="3"/>
    </i>
    <i t="grand">
      <x/>
    </i>
  </rowItems>
  <colItems count="1">
    <i/>
  </colItems>
  <dataFields count="1">
    <dataField name="Sum of Sales" fld="3" baseField="0" baseItem="0"/>
  </dataFields>
  <formats count="12">
    <format dxfId="329">
      <pivotArea type="all" dataOnly="0" outline="0" fieldPosition="0"/>
    </format>
    <format dxfId="330">
      <pivotArea outline="0" collapsedLevelsAreSubtotals="1" fieldPosition="0"/>
    </format>
    <format dxfId="331">
      <pivotArea field="1" type="button" dataOnly="0" labelOnly="1" outline="0" axis="axisRow" fieldPosition="0"/>
    </format>
    <format dxfId="332">
      <pivotArea dataOnly="0" labelOnly="1" fieldPosition="0">
        <references count="1">
          <reference field="1" count="3">
            <x v="0"/>
            <x v="2"/>
            <x v="3"/>
          </reference>
        </references>
      </pivotArea>
    </format>
    <format dxfId="333">
      <pivotArea dataOnly="0" labelOnly="1" grandRow="1" outline="0" fieldPosition="0"/>
    </format>
    <format dxfId="334">
      <pivotArea dataOnly="0" labelOnly="1" outline="0" axis="axisValues" fieldPosition="0"/>
    </format>
    <format dxfId="335">
      <pivotArea type="all" dataOnly="0" outline="0" fieldPosition="0"/>
    </format>
    <format dxfId="336">
      <pivotArea outline="0" collapsedLevelsAreSubtotals="1" fieldPosition="0"/>
    </format>
    <format dxfId="337">
      <pivotArea field="1" type="button" dataOnly="0" labelOnly="1" outline="0" axis="axisRow" fieldPosition="0"/>
    </format>
    <format dxfId="338">
      <pivotArea dataOnly="0" labelOnly="1" fieldPosition="0">
        <references count="1">
          <reference field="1" count="3">
            <x v="0"/>
            <x v="2"/>
            <x v="3"/>
          </reference>
        </references>
      </pivotArea>
    </format>
    <format dxfId="339">
      <pivotArea dataOnly="0" labelOnly="1" grandRow="1" outline="0" fieldPosition="0"/>
    </format>
    <format dxfId="340">
      <pivotArea dataOnly="0" labelOnly="1" outline="0" axis="axisValues" fieldPosition="0"/>
    </format>
  </format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DA998CD-7C08-49DC-892D-C8B94C85007C}" sourceName="Product">
  <pivotTables>
    <pivotTable tabId="4" name="PivotTable4"/>
    <pivotTable tabId="1" name="PivotTable5"/>
  </pivotTables>
  <data>
    <tabular pivotCacheId="303420756">
      <items count="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Sales" xr10:uid="{72EB72E7-5FAA-4360-AF56-76F509BE2275}" sourceName="Total Sales">
  <pivotTables>
    <pivotTable tabId="4" name="PivotTable4"/>
  </pivotTables>
  <data>
    <tabular pivotCacheId="303420756">
      <items count="20">
        <i x="16" s="1"/>
        <i x="18" s="1"/>
        <i x="5" s="1"/>
        <i x="1" s="1"/>
        <i x="9" s="1"/>
        <i x="14" s="1"/>
        <i x="11" s="1"/>
        <i x="10" s="1" nd="1"/>
        <i x="8" s="1" nd="1"/>
        <i x="3" s="1" nd="1"/>
        <i x="6" s="1" nd="1"/>
        <i x="17" s="1" nd="1"/>
        <i x="4" s="1" nd="1"/>
        <i x="19" s="1" nd="1"/>
        <i x="2" s="1" nd="1"/>
        <i x="7" s="1" nd="1"/>
        <i x="15" s="1" nd="1"/>
        <i x="13" s="1" nd="1"/>
        <i x="0" s="1" nd="1"/>
        <i x="1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E9C1447C-9DDB-41EE-90C8-B3B17CA03A4E}" sourceName="Sales">
  <pivotTables>
    <pivotTable tabId="4" name="PivotTable4"/>
  </pivotTables>
  <data>
    <tabular pivotCacheId="303420756">
      <items count="19">
        <i x="15" s="1"/>
        <i x="5" s="1"/>
        <i x="17" s="1"/>
        <i x="1" s="1"/>
        <i x="7" s="1"/>
        <i x="10" s="1"/>
        <i x="13" s="1"/>
        <i x="8" s="1" nd="1"/>
        <i x="9" s="1" nd="1"/>
        <i x="3" s="1" nd="1"/>
        <i x="2" s="1" nd="1"/>
        <i x="4" s="1" nd="1"/>
        <i x="18" s="1" nd="1"/>
        <i x="12" s="1" nd="1"/>
        <i x="16" s="1" nd="1"/>
        <i x="14" s="1" nd="1"/>
        <i x="6" s="1" nd="1"/>
        <i x="0" s="1" nd="1"/>
        <i x="1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AED7F5B3-0DF5-453F-B826-F87FAC1D2295}" cache="Slicer_Product" caption="Product" rowHeight="234950"/>
  <slicer name="Total Sales" xr10:uid="{2049B184-5958-4462-8050-A353FF4229AE}" cache="Slicer_Total_Sales" caption="Total Sales" rowHeight="234950"/>
  <slicer name="Sales" xr10:uid="{E53E5DFD-753C-4F81-9B38-4B00D6237F68}" cache="Slicer_Sales" caption="Sale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9FDF5219-C2B9-4FD9-826B-4E67BBBA6FE7}" cache="Slicer_Product" caption="Product" rowHeight="234950"/>
  <slicer name="Product 2" xr10:uid="{F0A6A382-5975-4155-99A4-C303545FA310}" cache="Slicer_Product" caption="Product" rowHeight="234950"/>
  <slicer name="Sales 1" xr10:uid="{C06859AD-6A4C-4D7A-AED8-916FA8F696E4}" cache="Slicer_Sales" caption="Sale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7" Type="http://schemas.microsoft.com/office/2007/relationships/slicer" Target="../slicers/slicer2.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2.xml"/><Relationship Id="rId5" Type="http://schemas.openxmlformats.org/officeDocument/2006/relationships/printerSettings" Target="../printerSettings/printerSettings1.bin"/><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BF108-1814-4AD8-BA54-6E6DE481A2F4}">
  <dimension ref="A3:B8"/>
  <sheetViews>
    <sheetView workbookViewId="0">
      <selection activeCell="C26" sqref="C26"/>
    </sheetView>
  </sheetViews>
  <sheetFormatPr defaultRowHeight="14.4" x14ac:dyDescent="0.3"/>
  <cols>
    <col min="1" max="1" width="12.5546875" bestFit="1" customWidth="1"/>
    <col min="2" max="2" width="16.44140625" bestFit="1" customWidth="1"/>
    <col min="3" max="3" width="11.6640625" bestFit="1" customWidth="1"/>
  </cols>
  <sheetData>
    <row r="3" spans="1:2" x14ac:dyDescent="0.3">
      <c r="A3" s="6" t="s">
        <v>13</v>
      </c>
      <c r="B3" t="s">
        <v>15</v>
      </c>
    </row>
    <row r="4" spans="1:2" x14ac:dyDescent="0.3">
      <c r="A4" s="7" t="s">
        <v>10</v>
      </c>
      <c r="B4">
        <v>45299</v>
      </c>
    </row>
    <row r="5" spans="1:2" x14ac:dyDescent="0.3">
      <c r="A5" s="7" t="s">
        <v>11</v>
      </c>
      <c r="B5">
        <v>12145</v>
      </c>
    </row>
    <row r="6" spans="1:2" x14ac:dyDescent="0.3">
      <c r="A6" s="7" t="s">
        <v>7</v>
      </c>
      <c r="B6">
        <v>142627</v>
      </c>
    </row>
    <row r="7" spans="1:2" x14ac:dyDescent="0.3">
      <c r="A7" s="7" t="s">
        <v>5</v>
      </c>
      <c r="B7">
        <v>233909</v>
      </c>
    </row>
    <row r="8" spans="1:2" x14ac:dyDescent="0.3">
      <c r="A8" s="7" t="s">
        <v>14</v>
      </c>
      <c r="B8">
        <v>433980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6316D-DCC2-40B7-B15E-B9AF7D5C180F}">
  <dimension ref="A3:B10"/>
  <sheetViews>
    <sheetView workbookViewId="0">
      <selection activeCell="A3" sqref="A3"/>
    </sheetView>
  </sheetViews>
  <sheetFormatPr defaultRowHeight="14.4" x14ac:dyDescent="0.3"/>
  <cols>
    <col min="1" max="1" width="12.5546875" bestFit="1" customWidth="1"/>
    <col min="2" max="2" width="11.6640625" bestFit="1" customWidth="1"/>
  </cols>
  <sheetData>
    <row r="3" spans="1:2" x14ac:dyDescent="0.3">
      <c r="A3" s="6" t="s">
        <v>13</v>
      </c>
      <c r="B3" t="s">
        <v>16</v>
      </c>
    </row>
    <row r="4" spans="1:2" x14ac:dyDescent="0.3">
      <c r="A4" s="7" t="s">
        <v>17</v>
      </c>
      <c r="B4">
        <v>1281</v>
      </c>
    </row>
    <row r="5" spans="1:2" x14ac:dyDescent="0.3">
      <c r="A5" s="7" t="s">
        <v>18</v>
      </c>
      <c r="B5">
        <v>1032</v>
      </c>
    </row>
    <row r="6" spans="1:2" x14ac:dyDescent="0.3">
      <c r="A6" s="7" t="s">
        <v>19</v>
      </c>
      <c r="B6">
        <v>958</v>
      </c>
    </row>
    <row r="7" spans="1:2" x14ac:dyDescent="0.3">
      <c r="A7" s="7" t="s">
        <v>20</v>
      </c>
      <c r="B7">
        <v>1155</v>
      </c>
    </row>
    <row r="8" spans="1:2" x14ac:dyDescent="0.3">
      <c r="A8" s="7" t="s">
        <v>21</v>
      </c>
      <c r="B8">
        <v>1286</v>
      </c>
    </row>
    <row r="9" spans="1:2" x14ac:dyDescent="0.3">
      <c r="A9" s="7" t="s">
        <v>22</v>
      </c>
      <c r="B9">
        <v>1117</v>
      </c>
    </row>
    <row r="10" spans="1:2" x14ac:dyDescent="0.3">
      <c r="A10" s="7" t="s">
        <v>14</v>
      </c>
      <c r="B10">
        <v>6829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3C1ED-7178-46FA-A6EC-1A3DFDF5F820}">
  <dimension ref="A3:B11"/>
  <sheetViews>
    <sheetView zoomScale="111" workbookViewId="0">
      <selection activeCell="O105" sqref="O105"/>
    </sheetView>
  </sheetViews>
  <sheetFormatPr defaultRowHeight="14.4" x14ac:dyDescent="0.3"/>
  <cols>
    <col min="1" max="1" width="12.5546875" bestFit="1" customWidth="1"/>
    <col min="2" max="2" width="16.44140625" bestFit="1" customWidth="1"/>
    <col min="3" max="5" width="6" bestFit="1" customWidth="1"/>
    <col min="6" max="6" width="7.109375" bestFit="1" customWidth="1"/>
    <col min="7" max="7" width="6" bestFit="1" customWidth="1"/>
    <col min="8" max="8" width="11" bestFit="1" customWidth="1"/>
    <col min="9" max="9" width="8.77734375" bestFit="1" customWidth="1"/>
    <col min="10" max="10" width="8" bestFit="1" customWidth="1"/>
    <col min="11" max="11" width="8.77734375" bestFit="1" customWidth="1"/>
    <col min="12" max="12" width="8" bestFit="1" customWidth="1"/>
    <col min="13" max="13" width="8.77734375" bestFit="1" customWidth="1"/>
    <col min="14" max="14" width="8" bestFit="1" customWidth="1"/>
    <col min="15" max="15" width="6.77734375" bestFit="1" customWidth="1"/>
    <col min="16" max="16" width="8" bestFit="1" customWidth="1"/>
    <col min="17" max="17" width="11" bestFit="1" customWidth="1"/>
    <col min="18" max="18" width="6" bestFit="1" customWidth="1"/>
    <col min="19" max="19" width="12.88671875" bestFit="1" customWidth="1"/>
    <col min="20" max="20" width="11" bestFit="1" customWidth="1"/>
  </cols>
  <sheetData>
    <row r="3" spans="1:2" x14ac:dyDescent="0.3">
      <c r="A3" s="6" t="s">
        <v>13</v>
      </c>
      <c r="B3" t="s">
        <v>15</v>
      </c>
    </row>
    <row r="4" spans="1:2" x14ac:dyDescent="0.3">
      <c r="A4" s="7" t="s">
        <v>8</v>
      </c>
      <c r="B4" s="17">
        <v>168363</v>
      </c>
    </row>
    <row r="5" spans="1:2" x14ac:dyDescent="0.3">
      <c r="A5" s="14" t="s">
        <v>17</v>
      </c>
      <c r="B5" s="17">
        <v>19488</v>
      </c>
    </row>
    <row r="6" spans="1:2" x14ac:dyDescent="0.3">
      <c r="A6" s="14" t="s">
        <v>18</v>
      </c>
      <c r="B6" s="17">
        <v>17368</v>
      </c>
    </row>
    <row r="7" spans="1:2" x14ac:dyDescent="0.3">
      <c r="A7" s="14" t="s">
        <v>19</v>
      </c>
      <c r="B7" s="17">
        <v>34839</v>
      </c>
    </row>
    <row r="8" spans="1:2" x14ac:dyDescent="0.3">
      <c r="A8" s="14" t="s">
        <v>20</v>
      </c>
      <c r="B8" s="17">
        <v>46851</v>
      </c>
    </row>
    <row r="9" spans="1:2" x14ac:dyDescent="0.3">
      <c r="A9" s="14" t="s">
        <v>21</v>
      </c>
      <c r="B9" s="17">
        <v>35287</v>
      </c>
    </row>
    <row r="10" spans="1:2" x14ac:dyDescent="0.3">
      <c r="A10" s="14" t="s">
        <v>22</v>
      </c>
      <c r="B10" s="17">
        <v>14530</v>
      </c>
    </row>
    <row r="11" spans="1:2" x14ac:dyDescent="0.3">
      <c r="A11" s="7" t="s">
        <v>14</v>
      </c>
      <c r="B11" s="17">
        <v>168363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68FC9-DD38-44FB-A5D7-771D28C71DD4}">
  <dimension ref="A3:B8"/>
  <sheetViews>
    <sheetView workbookViewId="0">
      <selection activeCell="K18" sqref="K18"/>
    </sheetView>
  </sheetViews>
  <sheetFormatPr defaultRowHeight="14.4" x14ac:dyDescent="0.3"/>
  <cols>
    <col min="1" max="1" width="12.5546875" bestFit="1" customWidth="1"/>
    <col min="2" max="2" width="11.6640625" bestFit="1" customWidth="1"/>
    <col min="3" max="3" width="16.44140625" bestFit="1" customWidth="1"/>
  </cols>
  <sheetData>
    <row r="3" spans="1:2" x14ac:dyDescent="0.3">
      <c r="A3" s="6" t="s">
        <v>13</v>
      </c>
      <c r="B3" t="s">
        <v>16</v>
      </c>
    </row>
    <row r="4" spans="1:2" x14ac:dyDescent="0.3">
      <c r="A4" s="7" t="s">
        <v>10</v>
      </c>
      <c r="B4" s="17">
        <v>467</v>
      </c>
    </row>
    <row r="5" spans="1:2" x14ac:dyDescent="0.3">
      <c r="A5" s="7" t="s">
        <v>11</v>
      </c>
      <c r="B5" s="17">
        <v>347</v>
      </c>
    </row>
    <row r="6" spans="1:2" x14ac:dyDescent="0.3">
      <c r="A6" s="7" t="s">
        <v>7</v>
      </c>
      <c r="B6" s="17">
        <v>2518</v>
      </c>
    </row>
    <row r="7" spans="1:2" x14ac:dyDescent="0.3">
      <c r="A7" s="7" t="s">
        <v>5</v>
      </c>
      <c r="B7" s="17">
        <v>3497</v>
      </c>
    </row>
    <row r="8" spans="1:2" x14ac:dyDescent="0.3">
      <c r="A8" s="7" t="s">
        <v>14</v>
      </c>
      <c r="B8" s="17">
        <v>6829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52BD5-26BE-4161-93D4-2638F3122E7E}">
  <sheetPr filterMode="1"/>
  <dimension ref="A1:P156"/>
  <sheetViews>
    <sheetView tabSelected="1" zoomScale="112" workbookViewId="0">
      <selection activeCell="C13" sqref="C13"/>
    </sheetView>
  </sheetViews>
  <sheetFormatPr defaultRowHeight="14.4" x14ac:dyDescent="0.3"/>
  <cols>
    <col min="1" max="1" width="18.109375" customWidth="1"/>
    <col min="2" max="2" width="16.109375" customWidth="1"/>
    <col min="3" max="3" width="20.109375" bestFit="1" customWidth="1"/>
    <col min="4" max="4" width="8.6640625" customWidth="1"/>
    <col min="6" max="6" width="15.33203125" customWidth="1"/>
    <col min="7" max="7" width="19.5546875" customWidth="1"/>
    <col min="12" max="12" width="18.77734375" customWidth="1"/>
    <col min="15" max="15" width="16.5546875" customWidth="1"/>
  </cols>
  <sheetData>
    <row r="1" spans="1:6" x14ac:dyDescent="0.3">
      <c r="A1" s="15" t="s">
        <v>23</v>
      </c>
      <c r="B1" s="15"/>
      <c r="C1" s="15"/>
      <c r="D1" s="15"/>
      <c r="E1" s="15"/>
    </row>
    <row r="2" spans="1:6" x14ac:dyDescent="0.3">
      <c r="A2" s="8"/>
      <c r="B2" s="8"/>
      <c r="C2" s="8"/>
      <c r="D2" s="8"/>
      <c r="E2" s="8"/>
    </row>
    <row r="3" spans="1:6" x14ac:dyDescent="0.3">
      <c r="A3" t="s">
        <v>32</v>
      </c>
      <c r="B3" s="7"/>
      <c r="C3" s="7"/>
      <c r="D3" s="7"/>
      <c r="E3" s="7"/>
    </row>
    <row r="4" spans="1:6" x14ac:dyDescent="0.3">
      <c r="A4" t="s">
        <v>31</v>
      </c>
      <c r="B4" s="7"/>
      <c r="C4" s="7"/>
      <c r="D4" s="7"/>
      <c r="E4" s="7"/>
    </row>
    <row r="5" spans="1:6" x14ac:dyDescent="0.3">
      <c r="A5" s="8"/>
      <c r="B5" s="8"/>
      <c r="C5" s="8"/>
      <c r="D5" s="8"/>
      <c r="E5" s="8"/>
    </row>
    <row r="7" spans="1:6" x14ac:dyDescent="0.3">
      <c r="A7" s="15" t="s">
        <v>24</v>
      </c>
      <c r="B7" s="16"/>
      <c r="C7" s="16"/>
      <c r="D7" s="16"/>
      <c r="E7" s="16"/>
      <c r="F7" s="16"/>
    </row>
    <row r="8" spans="1:6" x14ac:dyDescent="0.3">
      <c r="A8" s="8"/>
      <c r="B8" s="7"/>
      <c r="C8" s="7"/>
      <c r="D8" s="7"/>
      <c r="E8" s="7"/>
      <c r="F8" s="7"/>
    </row>
    <row r="9" spans="1:6" x14ac:dyDescent="0.3">
      <c r="A9" s="6" t="s">
        <v>13</v>
      </c>
      <c r="B9" t="s">
        <v>15</v>
      </c>
      <c r="E9" s="7"/>
      <c r="F9" s="7"/>
    </row>
    <row r="10" spans="1:6" x14ac:dyDescent="0.3">
      <c r="A10" s="7" t="s">
        <v>10</v>
      </c>
      <c r="B10" s="17">
        <v>45299</v>
      </c>
      <c r="E10" s="7"/>
      <c r="F10" s="7"/>
    </row>
    <row r="11" spans="1:6" x14ac:dyDescent="0.3">
      <c r="A11" s="7" t="s">
        <v>11</v>
      </c>
      <c r="B11" s="17">
        <v>12145</v>
      </c>
      <c r="E11" s="7"/>
      <c r="F11" s="7"/>
    </row>
    <row r="12" spans="1:6" x14ac:dyDescent="0.3">
      <c r="A12" s="7" t="s">
        <v>7</v>
      </c>
      <c r="B12" s="17">
        <v>142627</v>
      </c>
      <c r="E12" s="7"/>
      <c r="F12" s="7"/>
    </row>
    <row r="13" spans="1:6" x14ac:dyDescent="0.3">
      <c r="A13" s="7" t="s">
        <v>5</v>
      </c>
      <c r="B13" s="17">
        <v>233909</v>
      </c>
      <c r="E13" s="7"/>
      <c r="F13" s="7"/>
    </row>
    <row r="14" spans="1:6" x14ac:dyDescent="0.3">
      <c r="A14" s="7" t="s">
        <v>14</v>
      </c>
      <c r="B14" s="17">
        <v>433980</v>
      </c>
      <c r="E14" s="7"/>
      <c r="F14" s="7"/>
    </row>
    <row r="15" spans="1:6" x14ac:dyDescent="0.3">
      <c r="A15" s="7"/>
      <c r="B15" s="17"/>
      <c r="E15" s="7"/>
      <c r="F15" s="7"/>
    </row>
    <row r="16" spans="1:6" x14ac:dyDescent="0.3">
      <c r="A16" s="7"/>
      <c r="B16" s="17"/>
      <c r="E16" s="7"/>
      <c r="F16" s="7"/>
    </row>
    <row r="17" spans="1:6" x14ac:dyDescent="0.3">
      <c r="A17" s="15" t="s">
        <v>38</v>
      </c>
      <c r="B17" s="16"/>
      <c r="C17" s="16"/>
      <c r="D17" s="16"/>
      <c r="E17" s="16"/>
      <c r="F17" s="16"/>
    </row>
    <row r="18" spans="1:6" x14ac:dyDescent="0.3">
      <c r="E18" s="7"/>
      <c r="F18" s="7"/>
    </row>
    <row r="19" spans="1:6" x14ac:dyDescent="0.3">
      <c r="A19" s="11" t="s">
        <v>0</v>
      </c>
      <c r="B19" s="11" t="s">
        <v>1</v>
      </c>
      <c r="C19" s="11" t="s">
        <v>2</v>
      </c>
      <c r="D19" s="11" t="s">
        <v>3</v>
      </c>
      <c r="E19" s="11" t="s">
        <v>4</v>
      </c>
      <c r="F19" s="30" t="s">
        <v>12</v>
      </c>
    </row>
    <row r="20" spans="1:6" x14ac:dyDescent="0.3">
      <c r="A20" s="27">
        <v>45292</v>
      </c>
      <c r="B20" s="28" t="s">
        <v>5</v>
      </c>
      <c r="C20" s="28" t="s">
        <v>6</v>
      </c>
      <c r="D20" s="29">
        <v>456</v>
      </c>
      <c r="E20" s="29">
        <v>93</v>
      </c>
      <c r="F20" s="28">
        <f>SUM($D20*$E20)</f>
        <v>42408</v>
      </c>
    </row>
    <row r="21" spans="1:6" x14ac:dyDescent="0.3">
      <c r="A21" s="27">
        <v>45301.526319444441</v>
      </c>
      <c r="B21" s="28" t="s">
        <v>7</v>
      </c>
      <c r="C21" s="28" t="s">
        <v>8</v>
      </c>
      <c r="D21" s="29">
        <v>348</v>
      </c>
      <c r="E21" s="29">
        <v>56</v>
      </c>
      <c r="F21" s="28">
        <f t="shared" ref="F21:F39" si="0">SUM($D21*$E21)</f>
        <v>19488</v>
      </c>
    </row>
    <row r="22" spans="1:6" x14ac:dyDescent="0.3">
      <c r="A22" s="27">
        <v>45311.052627314813</v>
      </c>
      <c r="B22" s="28" t="s">
        <v>7</v>
      </c>
      <c r="C22" s="28" t="s">
        <v>6</v>
      </c>
      <c r="D22" s="29">
        <v>247</v>
      </c>
      <c r="E22" s="29">
        <v>76</v>
      </c>
      <c r="F22" s="28">
        <f t="shared" si="0"/>
        <v>18772</v>
      </c>
    </row>
    <row r="23" spans="1:6" x14ac:dyDescent="0.3">
      <c r="A23" s="27">
        <v>45320.578946759262</v>
      </c>
      <c r="B23" s="28" t="s">
        <v>5</v>
      </c>
      <c r="C23" s="28" t="s">
        <v>9</v>
      </c>
      <c r="D23" s="29">
        <v>230</v>
      </c>
      <c r="E23" s="29">
        <v>37</v>
      </c>
      <c r="F23" s="28">
        <f t="shared" si="0"/>
        <v>8510</v>
      </c>
    </row>
    <row r="24" spans="1:6" x14ac:dyDescent="0.3">
      <c r="A24" s="27">
        <v>45330.105266203704</v>
      </c>
      <c r="B24" s="28" t="s">
        <v>5</v>
      </c>
      <c r="C24" s="28" t="s">
        <v>6</v>
      </c>
      <c r="D24" s="29">
        <v>281</v>
      </c>
      <c r="E24" s="29">
        <v>50</v>
      </c>
      <c r="F24" s="28">
        <f t="shared" si="0"/>
        <v>14050</v>
      </c>
    </row>
    <row r="25" spans="1:6" x14ac:dyDescent="0.3">
      <c r="A25" s="27">
        <v>45339.631574074076</v>
      </c>
      <c r="B25" s="28" t="s">
        <v>5</v>
      </c>
      <c r="C25" s="28" t="s">
        <v>8</v>
      </c>
      <c r="D25" s="29">
        <v>334</v>
      </c>
      <c r="E25" s="29">
        <v>52</v>
      </c>
      <c r="F25" s="28">
        <f t="shared" si="0"/>
        <v>17368</v>
      </c>
    </row>
    <row r="26" spans="1:6" x14ac:dyDescent="0.3">
      <c r="A26" s="27">
        <v>45349.157893518517</v>
      </c>
      <c r="B26" s="28" t="s">
        <v>7</v>
      </c>
      <c r="C26" s="28" t="s">
        <v>9</v>
      </c>
      <c r="D26" s="29">
        <v>417</v>
      </c>
      <c r="E26" s="29">
        <v>29</v>
      </c>
      <c r="F26" s="28">
        <f t="shared" si="0"/>
        <v>12093</v>
      </c>
    </row>
    <row r="27" spans="1:6" x14ac:dyDescent="0.3">
      <c r="A27" s="27">
        <v>45358.684212962966</v>
      </c>
      <c r="B27" s="28" t="s">
        <v>5</v>
      </c>
      <c r="C27" s="28" t="s">
        <v>9</v>
      </c>
      <c r="D27" s="29">
        <v>441</v>
      </c>
      <c r="E27" s="29">
        <v>44</v>
      </c>
      <c r="F27" s="28">
        <f t="shared" si="0"/>
        <v>19404</v>
      </c>
    </row>
    <row r="28" spans="1:6" x14ac:dyDescent="0.3">
      <c r="A28" s="27">
        <v>45368.210520833331</v>
      </c>
      <c r="B28" s="28" t="s">
        <v>7</v>
      </c>
      <c r="C28" s="28" t="s">
        <v>6</v>
      </c>
      <c r="D28" s="29">
        <v>76</v>
      </c>
      <c r="E28" s="29">
        <v>63</v>
      </c>
      <c r="F28" s="28">
        <f t="shared" si="0"/>
        <v>4788</v>
      </c>
    </row>
    <row r="29" spans="1:6" x14ac:dyDescent="0.3">
      <c r="A29" s="27">
        <v>45377.736840277779</v>
      </c>
      <c r="B29" s="28" t="s">
        <v>5</v>
      </c>
      <c r="C29" s="28" t="s">
        <v>8</v>
      </c>
      <c r="D29" s="29">
        <v>441</v>
      </c>
      <c r="E29" s="29">
        <v>79</v>
      </c>
      <c r="F29" s="28">
        <f t="shared" si="0"/>
        <v>34839</v>
      </c>
    </row>
    <row r="30" spans="1:6" x14ac:dyDescent="0.3">
      <c r="A30" s="27">
        <v>45387.263159722221</v>
      </c>
      <c r="B30" s="28" t="s">
        <v>7</v>
      </c>
      <c r="C30" s="28" t="s">
        <v>6</v>
      </c>
      <c r="D30" s="29">
        <v>205</v>
      </c>
      <c r="E30" s="29">
        <v>23</v>
      </c>
      <c r="F30" s="28">
        <f t="shared" si="0"/>
        <v>4715</v>
      </c>
    </row>
    <row r="31" spans="1:6" x14ac:dyDescent="0.3">
      <c r="A31" s="27">
        <v>45396.789479166669</v>
      </c>
      <c r="B31" s="28" t="s">
        <v>5</v>
      </c>
      <c r="C31" s="28" t="s">
        <v>8</v>
      </c>
      <c r="D31" s="29">
        <v>483</v>
      </c>
      <c r="E31" s="29">
        <v>97</v>
      </c>
      <c r="F31" s="28">
        <f t="shared" si="0"/>
        <v>46851</v>
      </c>
    </row>
    <row r="32" spans="1:6" x14ac:dyDescent="0.3">
      <c r="A32" s="27">
        <v>45406.315787037034</v>
      </c>
      <c r="B32" s="28" t="s">
        <v>10</v>
      </c>
      <c r="C32" s="28" t="s">
        <v>6</v>
      </c>
      <c r="D32" s="29">
        <v>467</v>
      </c>
      <c r="E32" s="29">
        <v>97</v>
      </c>
      <c r="F32" s="28">
        <f t="shared" si="0"/>
        <v>45299</v>
      </c>
    </row>
    <row r="33" spans="1:6" x14ac:dyDescent="0.3">
      <c r="A33" s="27">
        <v>45415.842106481483</v>
      </c>
      <c r="B33" s="28" t="s">
        <v>5</v>
      </c>
      <c r="C33" s="28" t="s">
        <v>6</v>
      </c>
      <c r="D33" s="29">
        <v>380</v>
      </c>
      <c r="E33" s="29">
        <v>92</v>
      </c>
      <c r="F33" s="28">
        <f t="shared" si="0"/>
        <v>34960</v>
      </c>
    </row>
    <row r="34" spans="1:6" x14ac:dyDescent="0.3">
      <c r="A34" s="27">
        <v>45425.368425925924</v>
      </c>
      <c r="B34" s="28" t="s">
        <v>7</v>
      </c>
      <c r="C34" s="28" t="s">
        <v>8</v>
      </c>
      <c r="D34" s="29">
        <v>497</v>
      </c>
      <c r="E34" s="29">
        <v>71</v>
      </c>
      <c r="F34" s="28">
        <f t="shared" si="0"/>
        <v>35287</v>
      </c>
    </row>
    <row r="35" spans="1:6" x14ac:dyDescent="0.3">
      <c r="A35" s="27">
        <v>45434.894733796296</v>
      </c>
      <c r="B35" s="28" t="s">
        <v>7</v>
      </c>
      <c r="C35" s="28" t="s">
        <v>6</v>
      </c>
      <c r="D35" s="29">
        <v>409</v>
      </c>
      <c r="E35" s="29">
        <v>81</v>
      </c>
      <c r="F35" s="28">
        <f t="shared" si="0"/>
        <v>33129</v>
      </c>
    </row>
    <row r="36" spans="1:6" x14ac:dyDescent="0.3">
      <c r="A36" s="27">
        <v>45444.421053240738</v>
      </c>
      <c r="B36" s="28" t="s">
        <v>5</v>
      </c>
      <c r="C36" s="28" t="s">
        <v>8</v>
      </c>
      <c r="D36" s="29">
        <v>53</v>
      </c>
      <c r="E36" s="29">
        <v>45</v>
      </c>
      <c r="F36" s="28">
        <f t="shared" si="0"/>
        <v>2385</v>
      </c>
    </row>
    <row r="37" spans="1:6" x14ac:dyDescent="0.3">
      <c r="A37" s="27">
        <v>45453.947372685187</v>
      </c>
      <c r="B37" s="28" t="s">
        <v>5</v>
      </c>
      <c r="C37" s="28" t="s">
        <v>9</v>
      </c>
      <c r="D37" s="29">
        <v>398</v>
      </c>
      <c r="E37" s="29">
        <v>33</v>
      </c>
      <c r="F37" s="28">
        <f t="shared" si="0"/>
        <v>13134</v>
      </c>
    </row>
    <row r="38" spans="1:6" x14ac:dyDescent="0.3">
      <c r="A38" s="27">
        <v>45463.473680555559</v>
      </c>
      <c r="B38" s="28" t="s">
        <v>11</v>
      </c>
      <c r="C38" s="28" t="s">
        <v>8</v>
      </c>
      <c r="D38" s="29">
        <v>347</v>
      </c>
      <c r="E38" s="29">
        <v>35</v>
      </c>
      <c r="F38" s="28">
        <f t="shared" si="0"/>
        <v>12145</v>
      </c>
    </row>
    <row r="39" spans="1:6" x14ac:dyDescent="0.3">
      <c r="A39" s="27">
        <v>45473</v>
      </c>
      <c r="B39" s="28" t="s">
        <v>7</v>
      </c>
      <c r="C39" s="28" t="s">
        <v>9</v>
      </c>
      <c r="D39" s="29">
        <v>319</v>
      </c>
      <c r="E39" s="29">
        <v>45</v>
      </c>
      <c r="F39" s="28">
        <f t="shared" si="0"/>
        <v>14355</v>
      </c>
    </row>
    <row r="40" spans="1:6" x14ac:dyDescent="0.3">
      <c r="A40" s="23"/>
      <c r="B40" s="24"/>
      <c r="C40" s="24"/>
      <c r="D40" s="25"/>
      <c r="E40" s="25"/>
      <c r="F40" s="26"/>
    </row>
    <row r="41" spans="1:6" x14ac:dyDescent="0.3">
      <c r="A41" s="23"/>
      <c r="B41" s="24"/>
      <c r="C41" s="24"/>
      <c r="D41" s="25"/>
      <c r="E41" s="25"/>
      <c r="F41" s="26"/>
    </row>
    <row r="42" spans="1:6" x14ac:dyDescent="0.3">
      <c r="A42" s="23"/>
      <c r="B42" s="24"/>
      <c r="C42" s="24"/>
      <c r="D42" s="25"/>
      <c r="E42" s="25"/>
      <c r="F42" s="26"/>
    </row>
    <row r="43" spans="1:6" x14ac:dyDescent="0.3">
      <c r="A43" s="23"/>
      <c r="B43" s="24"/>
      <c r="C43" s="24"/>
      <c r="D43" s="25"/>
      <c r="E43" s="25"/>
      <c r="F43" s="26"/>
    </row>
    <row r="45" spans="1:6" x14ac:dyDescent="0.3">
      <c r="A45" s="13" t="s">
        <v>25</v>
      </c>
    </row>
    <row r="46" spans="1:6" ht="15" thickBot="1" x14ac:dyDescent="0.35"/>
    <row r="47" spans="1:6" ht="15" thickBot="1" x14ac:dyDescent="0.35">
      <c r="A47" s="1" t="s">
        <v>0</v>
      </c>
      <c r="B47" s="2" t="s">
        <v>1</v>
      </c>
      <c r="C47" s="2" t="s">
        <v>2</v>
      </c>
      <c r="D47" s="2" t="s">
        <v>3</v>
      </c>
      <c r="E47" s="9" t="s">
        <v>4</v>
      </c>
      <c r="F47" s="11" t="s">
        <v>12</v>
      </c>
    </row>
    <row r="48" spans="1:6" ht="15" hidden="1" thickBot="1" x14ac:dyDescent="0.35">
      <c r="A48" s="3">
        <v>45358.684212962966</v>
      </c>
      <c r="B48" s="4" t="s">
        <v>5</v>
      </c>
      <c r="C48" s="4" t="s">
        <v>9</v>
      </c>
      <c r="D48" s="5">
        <v>441</v>
      </c>
      <c r="E48" s="10">
        <v>44</v>
      </c>
      <c r="F48" s="12">
        <f t="shared" ref="F48:F67" si="1">SUM($D48*$E48)</f>
        <v>19404</v>
      </c>
    </row>
    <row r="49" spans="1:6" ht="15" thickBot="1" x14ac:dyDescent="0.35">
      <c r="A49" s="3">
        <v>45349.157893518517</v>
      </c>
      <c r="B49" s="4" t="s">
        <v>7</v>
      </c>
      <c r="C49" s="4" t="s">
        <v>9</v>
      </c>
      <c r="D49" s="5">
        <v>417</v>
      </c>
      <c r="E49" s="10">
        <v>29</v>
      </c>
      <c r="F49" s="12">
        <f t="shared" si="1"/>
        <v>12093</v>
      </c>
    </row>
    <row r="50" spans="1:6" ht="15" hidden="1" thickBot="1" x14ac:dyDescent="0.35">
      <c r="A50" s="3">
        <v>45453.947372685187</v>
      </c>
      <c r="B50" s="4" t="s">
        <v>5</v>
      </c>
      <c r="C50" s="4" t="s">
        <v>9</v>
      </c>
      <c r="D50" s="5">
        <v>398</v>
      </c>
      <c r="E50" s="10">
        <v>33</v>
      </c>
      <c r="F50" s="12">
        <f t="shared" si="1"/>
        <v>13134</v>
      </c>
    </row>
    <row r="51" spans="1:6" ht="15" hidden="1" thickBot="1" x14ac:dyDescent="0.35">
      <c r="A51" s="3">
        <v>45473</v>
      </c>
      <c r="B51" s="4" t="s">
        <v>7</v>
      </c>
      <c r="C51" s="4" t="s">
        <v>9</v>
      </c>
      <c r="D51" s="5">
        <v>319</v>
      </c>
      <c r="E51" s="10">
        <v>45</v>
      </c>
      <c r="F51" s="12">
        <f t="shared" si="1"/>
        <v>14355</v>
      </c>
    </row>
    <row r="52" spans="1:6" ht="15" thickBot="1" x14ac:dyDescent="0.35">
      <c r="A52" s="3">
        <v>45320.578946759262</v>
      </c>
      <c r="B52" s="4" t="s">
        <v>5</v>
      </c>
      <c r="C52" s="4" t="s">
        <v>9</v>
      </c>
      <c r="D52" s="5">
        <v>230</v>
      </c>
      <c r="E52" s="10">
        <v>37</v>
      </c>
      <c r="F52" s="12">
        <f t="shared" si="1"/>
        <v>8510</v>
      </c>
    </row>
    <row r="53" spans="1:6" ht="15" hidden="1" thickBot="1" x14ac:dyDescent="0.35">
      <c r="A53" s="3">
        <v>45406.315787037034</v>
      </c>
      <c r="B53" s="4" t="s">
        <v>10</v>
      </c>
      <c r="C53" s="4" t="s">
        <v>6</v>
      </c>
      <c r="D53" s="5">
        <v>467</v>
      </c>
      <c r="E53" s="10">
        <v>97</v>
      </c>
      <c r="F53" s="12">
        <f t="shared" si="1"/>
        <v>45299</v>
      </c>
    </row>
    <row r="54" spans="1:6" ht="15" thickBot="1" x14ac:dyDescent="0.35">
      <c r="A54" s="3">
        <v>45292</v>
      </c>
      <c r="B54" s="4" t="s">
        <v>5</v>
      </c>
      <c r="C54" s="4" t="s">
        <v>6</v>
      </c>
      <c r="D54" s="5">
        <v>456</v>
      </c>
      <c r="E54" s="10">
        <v>93</v>
      </c>
      <c r="F54" s="12">
        <f t="shared" si="1"/>
        <v>42408</v>
      </c>
    </row>
    <row r="55" spans="1:6" ht="15" hidden="1" thickBot="1" x14ac:dyDescent="0.35">
      <c r="A55" s="3">
        <v>45434.894733796296</v>
      </c>
      <c r="B55" s="4" t="s">
        <v>7</v>
      </c>
      <c r="C55" s="4" t="s">
        <v>6</v>
      </c>
      <c r="D55" s="5">
        <v>409</v>
      </c>
      <c r="E55" s="10">
        <v>81</v>
      </c>
      <c r="F55" s="12">
        <f t="shared" si="1"/>
        <v>33129</v>
      </c>
    </row>
    <row r="56" spans="1:6" ht="15" hidden="1" thickBot="1" x14ac:dyDescent="0.35">
      <c r="A56" s="3">
        <v>45415.842106481483</v>
      </c>
      <c r="B56" s="4" t="s">
        <v>5</v>
      </c>
      <c r="C56" s="4" t="s">
        <v>6</v>
      </c>
      <c r="D56" s="5">
        <v>380</v>
      </c>
      <c r="E56" s="10">
        <v>92</v>
      </c>
      <c r="F56" s="12">
        <f t="shared" si="1"/>
        <v>34960</v>
      </c>
    </row>
    <row r="57" spans="1:6" ht="15" thickBot="1" x14ac:dyDescent="0.35">
      <c r="A57" s="3">
        <v>45330.105266203704</v>
      </c>
      <c r="B57" s="4" t="s">
        <v>5</v>
      </c>
      <c r="C57" s="4" t="s">
        <v>6</v>
      </c>
      <c r="D57" s="5">
        <v>281</v>
      </c>
      <c r="E57" s="10">
        <v>50</v>
      </c>
      <c r="F57" s="12">
        <f t="shared" si="1"/>
        <v>14050</v>
      </c>
    </row>
    <row r="58" spans="1:6" ht="15" thickBot="1" x14ac:dyDescent="0.35">
      <c r="A58" s="3">
        <v>45311.052627314813</v>
      </c>
      <c r="B58" s="4" t="s">
        <v>7</v>
      </c>
      <c r="C58" s="4" t="s">
        <v>6</v>
      </c>
      <c r="D58" s="5">
        <v>247</v>
      </c>
      <c r="E58" s="10">
        <v>76</v>
      </c>
      <c r="F58" s="12">
        <f t="shared" si="1"/>
        <v>18772</v>
      </c>
    </row>
    <row r="59" spans="1:6" ht="15" hidden="1" thickBot="1" x14ac:dyDescent="0.35">
      <c r="A59" s="3">
        <v>45387.263159722221</v>
      </c>
      <c r="B59" s="4" t="s">
        <v>7</v>
      </c>
      <c r="C59" s="4" t="s">
        <v>6</v>
      </c>
      <c r="D59" s="5">
        <v>205</v>
      </c>
      <c r="E59" s="10">
        <v>23</v>
      </c>
      <c r="F59" s="12">
        <f t="shared" si="1"/>
        <v>4715</v>
      </c>
    </row>
    <row r="60" spans="1:6" ht="15" hidden="1" thickBot="1" x14ac:dyDescent="0.35">
      <c r="A60" s="3">
        <v>45368.210520833331</v>
      </c>
      <c r="B60" s="4" t="s">
        <v>7</v>
      </c>
      <c r="C60" s="4" t="s">
        <v>6</v>
      </c>
      <c r="D60" s="5">
        <v>76</v>
      </c>
      <c r="E60" s="10">
        <v>63</v>
      </c>
      <c r="F60" s="12">
        <f t="shared" si="1"/>
        <v>4788</v>
      </c>
    </row>
    <row r="61" spans="1:6" ht="15" hidden="1" thickBot="1" x14ac:dyDescent="0.35">
      <c r="A61" s="3">
        <v>45425.368425925924</v>
      </c>
      <c r="B61" s="4" t="s">
        <v>7</v>
      </c>
      <c r="C61" s="4" t="s">
        <v>8</v>
      </c>
      <c r="D61" s="5">
        <v>497</v>
      </c>
      <c r="E61" s="10">
        <v>71</v>
      </c>
      <c r="F61" s="12">
        <f t="shared" si="1"/>
        <v>35287</v>
      </c>
    </row>
    <row r="62" spans="1:6" ht="15" hidden="1" thickBot="1" x14ac:dyDescent="0.35">
      <c r="A62" s="3">
        <v>45396.789479166669</v>
      </c>
      <c r="B62" s="4" t="s">
        <v>5</v>
      </c>
      <c r="C62" s="4" t="s">
        <v>8</v>
      </c>
      <c r="D62" s="5">
        <v>483</v>
      </c>
      <c r="E62" s="10">
        <v>97</v>
      </c>
      <c r="F62" s="12">
        <f t="shared" si="1"/>
        <v>46851</v>
      </c>
    </row>
    <row r="63" spans="1:6" ht="15" hidden="1" thickBot="1" x14ac:dyDescent="0.35">
      <c r="A63" s="3">
        <v>45377.736840277779</v>
      </c>
      <c r="B63" s="4" t="s">
        <v>5</v>
      </c>
      <c r="C63" s="4" t="s">
        <v>8</v>
      </c>
      <c r="D63" s="5">
        <v>441</v>
      </c>
      <c r="E63" s="10">
        <v>79</v>
      </c>
      <c r="F63" s="12">
        <f t="shared" si="1"/>
        <v>34839</v>
      </c>
    </row>
    <row r="64" spans="1:6" ht="15" thickBot="1" x14ac:dyDescent="0.35">
      <c r="A64" s="3">
        <v>45301.526319444441</v>
      </c>
      <c r="B64" s="4" t="s">
        <v>7</v>
      </c>
      <c r="C64" s="4" t="s">
        <v>8</v>
      </c>
      <c r="D64" s="5">
        <v>348</v>
      </c>
      <c r="E64" s="10">
        <v>56</v>
      </c>
      <c r="F64" s="12">
        <f t="shared" si="1"/>
        <v>19488</v>
      </c>
    </row>
    <row r="65" spans="1:16" ht="15" hidden="1" thickBot="1" x14ac:dyDescent="0.35">
      <c r="A65" s="3">
        <v>45463.473680555559</v>
      </c>
      <c r="B65" s="4" t="s">
        <v>11</v>
      </c>
      <c r="C65" s="4" t="s">
        <v>8</v>
      </c>
      <c r="D65" s="5">
        <v>347</v>
      </c>
      <c r="E65" s="10">
        <v>35</v>
      </c>
      <c r="F65" s="12">
        <f t="shared" si="1"/>
        <v>12145</v>
      </c>
    </row>
    <row r="66" spans="1:16" ht="15" thickBot="1" x14ac:dyDescent="0.35">
      <c r="A66" s="3">
        <v>45339.631574074076</v>
      </c>
      <c r="B66" s="4" t="s">
        <v>5</v>
      </c>
      <c r="C66" s="4" t="s">
        <v>8</v>
      </c>
      <c r="D66" s="5">
        <v>334</v>
      </c>
      <c r="E66" s="10">
        <v>52</v>
      </c>
      <c r="F66" s="12">
        <f t="shared" si="1"/>
        <v>17368</v>
      </c>
    </row>
    <row r="67" spans="1:16" ht="15" hidden="1" thickBot="1" x14ac:dyDescent="0.35">
      <c r="A67" s="3">
        <v>45444.421053240738</v>
      </c>
      <c r="B67" s="4" t="s">
        <v>5</v>
      </c>
      <c r="C67" s="4" t="s">
        <v>8</v>
      </c>
      <c r="D67" s="5">
        <v>53</v>
      </c>
      <c r="E67" s="10">
        <v>45</v>
      </c>
      <c r="F67" s="12">
        <f t="shared" si="1"/>
        <v>2385</v>
      </c>
    </row>
    <row r="69" spans="1:16" x14ac:dyDescent="0.3">
      <c r="A69" s="16" t="s">
        <v>26</v>
      </c>
      <c r="B69" s="16"/>
      <c r="C69" s="16"/>
      <c r="D69" s="16"/>
      <c r="E69" s="16"/>
      <c r="F69" s="16"/>
      <c r="G69" s="16"/>
      <c r="H69" s="16"/>
      <c r="I69" s="16"/>
      <c r="J69" s="16"/>
      <c r="K69" s="16"/>
    </row>
    <row r="70" spans="1:16" x14ac:dyDescent="0.3">
      <c r="A70" s="15" t="s">
        <v>29</v>
      </c>
      <c r="B70" s="15"/>
      <c r="C70" s="15"/>
      <c r="D70" s="15"/>
      <c r="E70" s="15"/>
      <c r="F70" s="15"/>
      <c r="G70" s="15"/>
      <c r="H70" s="15"/>
      <c r="I70" s="15"/>
      <c r="J70" s="15"/>
      <c r="K70" s="15"/>
      <c r="L70" s="15"/>
      <c r="M70" s="15"/>
      <c r="N70" s="15"/>
      <c r="O70" s="15"/>
    </row>
    <row r="71" spans="1:16" x14ac:dyDescent="0.3">
      <c r="A71" s="15" t="s">
        <v>27</v>
      </c>
      <c r="B71" s="15"/>
      <c r="C71" s="15"/>
      <c r="D71" s="15"/>
      <c r="E71" s="15"/>
      <c r="F71" s="15"/>
      <c r="G71" s="15"/>
      <c r="H71" s="15"/>
      <c r="I71" s="15"/>
      <c r="J71" s="15"/>
      <c r="K71" s="15"/>
      <c r="L71" s="15"/>
      <c r="M71" s="15"/>
      <c r="N71" s="15"/>
      <c r="O71" s="15"/>
      <c r="P71" s="15"/>
    </row>
    <row r="73" spans="1:16" x14ac:dyDescent="0.3">
      <c r="A73" s="15" t="s">
        <v>28</v>
      </c>
      <c r="B73" s="15"/>
      <c r="C73" s="15"/>
      <c r="D73" s="15"/>
    </row>
    <row r="74" spans="1:16" x14ac:dyDescent="0.3">
      <c r="B74" s="7"/>
    </row>
    <row r="90" spans="1:8" x14ac:dyDescent="0.3">
      <c r="A90" s="15" t="s">
        <v>30</v>
      </c>
      <c r="B90" s="15"/>
      <c r="C90" s="15"/>
      <c r="D90" s="15"/>
      <c r="E90" s="15"/>
      <c r="F90" s="15"/>
      <c r="G90" s="15"/>
      <c r="H90" s="15"/>
    </row>
    <row r="108" spans="1:12" x14ac:dyDescent="0.3">
      <c r="A108" s="15" t="s">
        <v>33</v>
      </c>
      <c r="B108" s="15"/>
      <c r="C108" s="15"/>
      <c r="D108" s="15"/>
      <c r="E108" s="15"/>
      <c r="F108" s="15"/>
      <c r="G108" s="15"/>
    </row>
    <row r="110" spans="1:12" x14ac:dyDescent="0.3">
      <c r="A110" t="s">
        <v>34</v>
      </c>
    </row>
    <row r="111" spans="1:12" x14ac:dyDescent="0.3">
      <c r="A111" s="16" t="s">
        <v>35</v>
      </c>
      <c r="B111" s="16"/>
      <c r="C111" s="16"/>
      <c r="D111" s="16"/>
      <c r="E111" s="16"/>
      <c r="F111" s="16"/>
      <c r="G111" s="16"/>
      <c r="H111" s="16"/>
      <c r="I111" s="16"/>
      <c r="J111" s="16"/>
      <c r="K111" s="16"/>
      <c r="L111" s="16"/>
    </row>
    <row r="113" spans="1:15" x14ac:dyDescent="0.3">
      <c r="A113" s="15" t="s">
        <v>36</v>
      </c>
      <c r="B113" s="15"/>
      <c r="C113" s="15"/>
      <c r="D113" s="13"/>
      <c r="E113" s="13"/>
      <c r="F113" s="13"/>
      <c r="G113" s="13"/>
      <c r="H113" s="13"/>
      <c r="I113" s="13"/>
      <c r="J113" s="13"/>
    </row>
    <row r="114" spans="1:15" x14ac:dyDescent="0.3">
      <c r="A114" s="15" t="s">
        <v>37</v>
      </c>
      <c r="B114" s="15"/>
      <c r="C114" s="15"/>
      <c r="D114" s="15"/>
      <c r="E114" s="15"/>
      <c r="F114" s="15"/>
      <c r="G114" s="15"/>
      <c r="H114" s="15"/>
      <c r="I114" s="15"/>
      <c r="J114" s="15"/>
    </row>
    <row r="115" spans="1:15" x14ac:dyDescent="0.3">
      <c r="A115" s="18"/>
      <c r="B115" s="18"/>
      <c r="C115" s="18"/>
      <c r="D115" s="18"/>
      <c r="E115" s="18"/>
      <c r="F115" s="18"/>
      <c r="G115" s="18"/>
      <c r="H115" s="18"/>
      <c r="I115" s="18"/>
      <c r="J115" s="18"/>
      <c r="K115" s="18"/>
      <c r="L115" s="18"/>
      <c r="M115" s="18"/>
      <c r="N115" s="18"/>
      <c r="O115" s="22"/>
    </row>
    <row r="116" spans="1:15" x14ac:dyDescent="0.3">
      <c r="A116" s="18"/>
      <c r="B116" s="18"/>
      <c r="C116" s="18"/>
      <c r="D116" s="18"/>
      <c r="E116" s="18"/>
      <c r="F116" s="18"/>
      <c r="G116" s="18"/>
      <c r="H116" s="18"/>
      <c r="I116" s="18"/>
      <c r="J116" s="18"/>
      <c r="K116" s="18"/>
      <c r="L116" s="18"/>
      <c r="M116" s="18"/>
      <c r="N116" s="18"/>
      <c r="O116" s="22"/>
    </row>
    <row r="117" spans="1:15" x14ac:dyDescent="0.3">
      <c r="A117" s="19" t="s">
        <v>13</v>
      </c>
      <c r="B117" s="19" t="s">
        <v>16</v>
      </c>
      <c r="C117" s="18"/>
      <c r="D117" s="18"/>
      <c r="E117" s="18"/>
      <c r="F117" s="18"/>
      <c r="G117" s="18"/>
      <c r="H117" s="18"/>
      <c r="I117" s="18"/>
      <c r="J117" s="18"/>
      <c r="K117" s="18"/>
      <c r="L117" s="18"/>
      <c r="M117" s="18"/>
      <c r="N117" s="18"/>
      <c r="O117" s="22"/>
    </row>
    <row r="118" spans="1:15" x14ac:dyDescent="0.3">
      <c r="A118" s="20" t="s">
        <v>11</v>
      </c>
      <c r="B118" s="21">
        <v>347</v>
      </c>
      <c r="C118" s="18"/>
      <c r="D118" s="18"/>
      <c r="E118" s="18"/>
      <c r="F118" s="18"/>
      <c r="G118" s="18"/>
      <c r="H118" s="18"/>
      <c r="I118" s="18"/>
      <c r="J118" s="18"/>
      <c r="K118" s="18"/>
      <c r="L118" s="18"/>
      <c r="M118" s="18"/>
      <c r="N118" s="18"/>
      <c r="O118" s="22"/>
    </row>
    <row r="119" spans="1:15" x14ac:dyDescent="0.3">
      <c r="A119" s="20" t="s">
        <v>7</v>
      </c>
      <c r="B119" s="21">
        <v>845</v>
      </c>
      <c r="C119" s="18"/>
      <c r="D119" s="18"/>
      <c r="E119" s="18"/>
      <c r="F119" s="18"/>
      <c r="G119" s="18"/>
      <c r="H119" s="18"/>
      <c r="I119" s="18"/>
      <c r="J119" s="18"/>
      <c r="K119" s="18"/>
      <c r="L119" s="18"/>
      <c r="M119" s="18"/>
      <c r="N119" s="18"/>
      <c r="O119" s="22"/>
    </row>
    <row r="120" spans="1:15" x14ac:dyDescent="0.3">
      <c r="A120" s="20" t="s">
        <v>5</v>
      </c>
      <c r="B120" s="21">
        <v>1311</v>
      </c>
      <c r="C120" s="18"/>
      <c r="D120" s="18"/>
      <c r="E120" s="18"/>
      <c r="F120" s="18"/>
      <c r="G120" s="18"/>
      <c r="H120" s="18"/>
      <c r="I120" s="18"/>
      <c r="J120" s="18"/>
      <c r="K120" s="18"/>
      <c r="L120" s="18"/>
      <c r="M120" s="18"/>
      <c r="N120" s="18"/>
      <c r="O120" s="22"/>
    </row>
    <row r="121" spans="1:15" x14ac:dyDescent="0.3">
      <c r="A121" s="20" t="s">
        <v>14</v>
      </c>
      <c r="B121" s="21">
        <v>2503</v>
      </c>
      <c r="C121" s="18"/>
      <c r="D121" s="18"/>
      <c r="E121" s="18"/>
      <c r="F121" s="18"/>
      <c r="G121" s="18"/>
      <c r="H121" s="18"/>
      <c r="I121" s="18"/>
      <c r="J121" s="18"/>
      <c r="K121" s="18"/>
      <c r="L121" s="18"/>
      <c r="M121" s="18"/>
      <c r="N121" s="18"/>
      <c r="O121" s="22"/>
    </row>
    <row r="122" spans="1:15" x14ac:dyDescent="0.3">
      <c r="A122" s="18"/>
      <c r="B122" s="18"/>
      <c r="C122" s="18"/>
      <c r="D122" s="18"/>
      <c r="E122" s="18"/>
      <c r="F122" s="18"/>
      <c r="G122" s="18"/>
      <c r="H122" s="18"/>
      <c r="I122" s="18"/>
      <c r="J122" s="18"/>
      <c r="K122" s="18"/>
      <c r="L122" s="18"/>
      <c r="M122" s="18"/>
      <c r="N122" s="18"/>
      <c r="O122" s="22"/>
    </row>
    <row r="123" spans="1:15" x14ac:dyDescent="0.3">
      <c r="A123" s="18"/>
      <c r="B123" s="18"/>
      <c r="C123" s="18"/>
      <c r="D123" s="18"/>
      <c r="E123" s="18"/>
      <c r="F123" s="18"/>
      <c r="G123" s="18"/>
      <c r="H123" s="18"/>
      <c r="I123" s="18"/>
      <c r="J123" s="18"/>
      <c r="K123" s="18"/>
      <c r="L123" s="18"/>
      <c r="M123" s="18"/>
      <c r="N123" s="18"/>
      <c r="O123" s="22"/>
    </row>
    <row r="124" spans="1:15" x14ac:dyDescent="0.3">
      <c r="A124" s="18"/>
      <c r="B124" s="18"/>
      <c r="C124" s="18"/>
      <c r="D124" s="18"/>
      <c r="E124" s="18"/>
      <c r="F124" s="18"/>
      <c r="G124" s="18"/>
      <c r="H124" s="18"/>
      <c r="I124" s="18"/>
      <c r="J124" s="18"/>
      <c r="K124" s="18"/>
      <c r="L124" s="18"/>
      <c r="M124" s="18"/>
      <c r="N124" s="18"/>
      <c r="O124" s="22"/>
    </row>
    <row r="125" spans="1:15" x14ac:dyDescent="0.3">
      <c r="A125" s="18"/>
      <c r="B125" s="18"/>
      <c r="C125" s="18"/>
      <c r="D125" s="18"/>
      <c r="E125" s="18"/>
      <c r="F125" s="18"/>
      <c r="G125" s="18"/>
      <c r="H125" s="18"/>
      <c r="I125" s="18"/>
      <c r="J125" s="18"/>
      <c r="K125" s="18"/>
      <c r="L125" s="18"/>
      <c r="M125" s="18"/>
      <c r="N125" s="18"/>
      <c r="O125" s="22"/>
    </row>
    <row r="126" spans="1:15" x14ac:dyDescent="0.3">
      <c r="A126" s="18"/>
      <c r="B126" s="18"/>
      <c r="C126" s="18"/>
      <c r="D126" s="18"/>
      <c r="E126" s="18"/>
      <c r="F126" s="18"/>
      <c r="G126" s="18"/>
      <c r="H126" s="18"/>
      <c r="I126" s="18"/>
      <c r="J126" s="18"/>
      <c r="K126" s="18"/>
      <c r="L126" s="18"/>
      <c r="M126" s="18"/>
      <c r="N126" s="18"/>
      <c r="O126" s="22"/>
    </row>
    <row r="127" spans="1:15" x14ac:dyDescent="0.3">
      <c r="A127" s="18"/>
      <c r="B127" s="18"/>
      <c r="C127" s="18"/>
      <c r="D127" s="18"/>
      <c r="E127" s="18"/>
      <c r="F127" s="18"/>
      <c r="G127" s="18"/>
      <c r="H127" s="18"/>
      <c r="I127" s="18"/>
      <c r="J127" s="18"/>
      <c r="K127" s="18"/>
      <c r="L127" s="18"/>
      <c r="M127" s="18"/>
      <c r="N127" s="18"/>
      <c r="O127" s="22"/>
    </row>
    <row r="128" spans="1:15" x14ac:dyDescent="0.3">
      <c r="A128" s="18"/>
      <c r="B128" s="18"/>
      <c r="C128" s="18"/>
      <c r="D128" s="18"/>
      <c r="E128" s="18"/>
      <c r="F128" s="18"/>
      <c r="G128" s="18"/>
      <c r="H128" s="18"/>
      <c r="I128" s="18"/>
      <c r="J128" s="18"/>
      <c r="K128" s="18"/>
      <c r="L128" s="18"/>
      <c r="M128" s="18"/>
      <c r="N128" s="18"/>
      <c r="O128" s="22"/>
    </row>
    <row r="129" spans="1:15" x14ac:dyDescent="0.3">
      <c r="A129" s="18"/>
      <c r="B129" s="18"/>
      <c r="C129" s="18"/>
      <c r="D129" s="18"/>
      <c r="E129" s="18"/>
      <c r="F129" s="18"/>
      <c r="G129" s="18"/>
      <c r="H129" s="18"/>
      <c r="I129" s="18"/>
      <c r="J129" s="18"/>
      <c r="K129" s="18"/>
      <c r="L129" s="18"/>
      <c r="M129" s="18"/>
      <c r="N129" s="18"/>
      <c r="O129" s="22"/>
    </row>
    <row r="130" spans="1:15" x14ac:dyDescent="0.3">
      <c r="A130" s="18"/>
      <c r="B130" s="18"/>
      <c r="C130" s="18"/>
      <c r="D130" s="18"/>
      <c r="E130" s="18"/>
      <c r="F130" s="18"/>
      <c r="G130" s="18"/>
      <c r="H130" s="18"/>
      <c r="I130" s="18"/>
      <c r="J130" s="18"/>
      <c r="K130" s="18"/>
      <c r="L130" s="18"/>
      <c r="M130" s="18"/>
      <c r="N130" s="18"/>
      <c r="O130" s="22"/>
    </row>
    <row r="131" spans="1:15" x14ac:dyDescent="0.3">
      <c r="A131" s="18"/>
      <c r="B131" s="18"/>
      <c r="C131" s="18"/>
      <c r="D131" s="18"/>
      <c r="E131" s="18"/>
      <c r="F131" s="18"/>
      <c r="G131" s="18"/>
      <c r="H131" s="18"/>
      <c r="I131" s="18"/>
      <c r="J131" s="18"/>
      <c r="K131" s="18"/>
      <c r="L131" s="18"/>
      <c r="M131" s="18"/>
      <c r="N131" s="18"/>
      <c r="O131" s="22"/>
    </row>
    <row r="132" spans="1:15" x14ac:dyDescent="0.3">
      <c r="A132" s="18"/>
      <c r="B132" s="18"/>
      <c r="C132" s="18"/>
      <c r="D132" s="18"/>
      <c r="E132" s="18"/>
      <c r="F132" s="18"/>
      <c r="G132" s="18"/>
      <c r="H132" s="18"/>
      <c r="I132" s="18"/>
      <c r="J132" s="18"/>
      <c r="K132" s="18"/>
      <c r="L132" s="18"/>
      <c r="M132" s="18"/>
      <c r="N132" s="18"/>
      <c r="O132" s="22"/>
    </row>
    <row r="133" spans="1:15" x14ac:dyDescent="0.3">
      <c r="A133" s="18"/>
      <c r="B133" s="18"/>
      <c r="C133" s="18"/>
      <c r="D133" s="18"/>
      <c r="E133" s="18"/>
      <c r="F133" s="18"/>
      <c r="G133" s="18"/>
      <c r="H133" s="18"/>
      <c r="I133" s="18"/>
      <c r="J133" s="18"/>
      <c r="K133" s="18"/>
      <c r="L133" s="18"/>
      <c r="M133" s="18"/>
      <c r="N133" s="18"/>
      <c r="O133" s="22"/>
    </row>
    <row r="134" spans="1:15" x14ac:dyDescent="0.3">
      <c r="A134" s="18"/>
      <c r="B134" s="18"/>
      <c r="C134" s="18"/>
      <c r="D134" s="18"/>
      <c r="E134" s="18"/>
      <c r="F134" s="18"/>
      <c r="G134" s="18"/>
      <c r="H134" s="18"/>
      <c r="I134" s="18"/>
      <c r="J134" s="18"/>
      <c r="K134" s="18"/>
      <c r="L134" s="18"/>
      <c r="M134" s="18"/>
      <c r="N134" s="18"/>
      <c r="O134" s="22"/>
    </row>
    <row r="137" spans="1:15" x14ac:dyDescent="0.3">
      <c r="A137" s="15" t="s">
        <v>39</v>
      </c>
      <c r="B137" s="15"/>
      <c r="C137" s="15"/>
      <c r="D137" s="15"/>
      <c r="E137" s="15"/>
      <c r="F137" s="15"/>
      <c r="G137" s="15"/>
    </row>
    <row r="139" spans="1:15" x14ac:dyDescent="0.3">
      <c r="A139" s="6" t="s">
        <v>13</v>
      </c>
      <c r="B139" t="s">
        <v>40</v>
      </c>
    </row>
    <row r="140" spans="1:15" x14ac:dyDescent="0.3">
      <c r="A140" s="7" t="s">
        <v>17</v>
      </c>
      <c r="B140" s="17">
        <v>22294.5</v>
      </c>
    </row>
    <row r="141" spans="1:15" x14ac:dyDescent="0.3">
      <c r="A141" s="7" t="s">
        <v>18</v>
      </c>
      <c r="B141" s="17">
        <v>14503.666666666666</v>
      </c>
    </row>
    <row r="142" spans="1:15" x14ac:dyDescent="0.3">
      <c r="A142" s="7" t="s">
        <v>19</v>
      </c>
      <c r="B142" s="17">
        <v>19677</v>
      </c>
    </row>
    <row r="143" spans="1:15" x14ac:dyDescent="0.3">
      <c r="A143" s="7" t="s">
        <v>20</v>
      </c>
      <c r="B143" s="17">
        <v>32288.333333333332</v>
      </c>
    </row>
    <row r="144" spans="1:15" x14ac:dyDescent="0.3">
      <c r="A144" s="7" t="s">
        <v>21</v>
      </c>
      <c r="B144" s="17">
        <v>34458.666666666664</v>
      </c>
    </row>
    <row r="145" spans="1:7" x14ac:dyDescent="0.3">
      <c r="A145" s="7" t="s">
        <v>22</v>
      </c>
      <c r="B145" s="17">
        <v>10504.75</v>
      </c>
    </row>
    <row r="146" spans="1:7" x14ac:dyDescent="0.3">
      <c r="A146" s="7" t="s">
        <v>14</v>
      </c>
      <c r="B146" s="17">
        <v>21699</v>
      </c>
    </row>
    <row r="148" spans="1:7" x14ac:dyDescent="0.3">
      <c r="A148" s="15" t="s">
        <v>41</v>
      </c>
      <c r="B148" s="15"/>
      <c r="C148" s="15"/>
      <c r="D148" s="15"/>
      <c r="E148" s="15"/>
      <c r="F148" s="15"/>
      <c r="G148" s="15"/>
    </row>
    <row r="150" spans="1:7" x14ac:dyDescent="0.3">
      <c r="A150" s="6" t="s">
        <v>13</v>
      </c>
      <c r="B150" t="s">
        <v>16</v>
      </c>
    </row>
    <row r="151" spans="1:7" x14ac:dyDescent="0.3">
      <c r="A151" s="7" t="s">
        <v>42</v>
      </c>
      <c r="B151" s="17">
        <v>4308</v>
      </c>
    </row>
    <row r="152" spans="1:7" x14ac:dyDescent="0.3">
      <c r="A152" s="14" t="s">
        <v>9</v>
      </c>
      <c r="B152" s="17">
        <v>1805</v>
      </c>
    </row>
    <row r="153" spans="1:7" x14ac:dyDescent="0.3">
      <c r="A153" s="14" t="s">
        <v>8</v>
      </c>
      <c r="B153" s="17">
        <v>2503</v>
      </c>
    </row>
    <row r="154" spans="1:7" x14ac:dyDescent="0.3">
      <c r="A154" s="7" t="s">
        <v>6</v>
      </c>
      <c r="B154" s="17">
        <v>2521</v>
      </c>
    </row>
    <row r="155" spans="1:7" x14ac:dyDescent="0.3">
      <c r="A155" s="14" t="s">
        <v>6</v>
      </c>
      <c r="B155" s="17">
        <v>2521</v>
      </c>
    </row>
    <row r="156" spans="1:7" x14ac:dyDescent="0.3">
      <c r="A156" s="7" t="s">
        <v>14</v>
      </c>
      <c r="B156" s="17">
        <v>6829</v>
      </c>
    </row>
  </sheetData>
  <autoFilter ref="A47:F67" xr:uid="{97B52BD5-26BE-4161-93D4-2638F3122E7E}">
    <filterColumn colId="0">
      <filters>
        <dateGroupItem year="2024" month="1" dateTimeGrouping="month"/>
        <dateGroupItem year="2024" month="2" dateTimeGrouping="month"/>
      </filters>
    </filterColumn>
  </autoFilter>
  <sortState xmlns:xlrd2="http://schemas.microsoft.com/office/spreadsheetml/2017/richdata2" ref="A48:F67">
    <sortCondition ref="C48:C67"/>
    <sortCondition descending="1" ref="D48:D67"/>
  </sortState>
  <mergeCells count="14">
    <mergeCell ref="A137:G137"/>
    <mergeCell ref="A148:G148"/>
    <mergeCell ref="A1:E1"/>
    <mergeCell ref="A7:F7"/>
    <mergeCell ref="A69:K69"/>
    <mergeCell ref="A70:O70"/>
    <mergeCell ref="A17:F17"/>
    <mergeCell ref="A114:J114"/>
    <mergeCell ref="A71:P71"/>
    <mergeCell ref="A73:D73"/>
    <mergeCell ref="A90:H90"/>
    <mergeCell ref="A108:G108"/>
    <mergeCell ref="A111:L111"/>
    <mergeCell ref="A113:C113"/>
  </mergeCells>
  <conditionalFormatting sqref="D40:D43">
    <cfRule type="cellIs" dxfId="182" priority="3" operator="greaterThan">
      <formula>400</formula>
    </cfRule>
  </conditionalFormatting>
  <conditionalFormatting sqref="D50:D51">
    <cfRule type="cellIs" dxfId="181" priority="2" operator="greaterThan">
      <formula>400</formula>
    </cfRule>
  </conditionalFormatting>
  <conditionalFormatting sqref="D20:D39">
    <cfRule type="cellIs" dxfId="180" priority="1" operator="greaterThan">
      <formula>400</formula>
    </cfRule>
  </conditionalFormatting>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Sheet3</vt:lpstr>
      <vt:lpstr>Sheet4</vt:lpstr>
      <vt:lpstr>Sheet5</vt:lpstr>
      <vt:lpstr>Sheet1</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aaisha kumari</dc:creator>
  <cp:lastModifiedBy>aaisha kumari</cp:lastModifiedBy>
  <dcterms:created xsi:type="dcterms:W3CDTF">2025-12-14T10:34:13Z</dcterms:created>
  <dcterms:modified xsi:type="dcterms:W3CDTF">2025-12-15T12:09:33Z</dcterms:modified>
</cp:coreProperties>
</file>